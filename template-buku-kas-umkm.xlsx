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ku Kas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Panduan" sheetId="3" state="visible" r:id="rId3"/>
  </sheets>
  <definedNames>
    <definedName name="_xlnm._FilterDatabase" localSheetId="0" hidden="1">'Buku Kas'!$A$8:$G$208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p #,##0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F37"/>
    </font>
    <font>
      <b val="1"/>
      <color rgb="00FFFFFF"/>
    </font>
    <font>
      <b val="1"/>
      <color rgb="00C79A3C"/>
    </font>
  </fonts>
  <fills count="4">
    <fill>
      <patternFill/>
    </fill>
    <fill>
      <patternFill patternType="gray125"/>
    </fill>
    <fill>
      <patternFill patternType="solid">
        <fgColor rgb="00173F37"/>
      </patternFill>
    </fill>
    <fill>
      <patternFill patternType="solid">
        <fgColor rgb="00E4EFE8"/>
      </patternFill>
    </fill>
  </fills>
  <borders count="3">
    <border>
      <left/>
      <right/>
      <top/>
      <bottom/>
      <diagonal/>
    </border>
    <border>
      <bottom style="thin">
        <color rgb="00DDD4C2"/>
      </bottom>
    </border>
    <border>
      <bottom style="hair">
        <color rgb="00EAE3D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165" fontId="0" fillId="0" borderId="2" pivotButton="0" quotePrefix="0" xfId="0"/>
    <xf numFmtId="164" fontId="0" fillId="0" borderId="2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3" borderId="0" applyAlignment="1" pivotButton="0" quotePrefix="0" xfId="0">
      <alignment vertical="top" wrapText="1"/>
    </xf>
    <xf numFmtId="1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BukuKas" displayName="TabelBukuKas" ref="A8:G208" headerRowCount="1">
  <autoFilter ref="A8:G208"/>
  <tableColumns count="7">
    <tableColumn id="1" name="No"/>
    <tableColumn id="2" name="Tanggal"/>
    <tableColumn id="3" name="Keterangan"/>
    <tableColumn id="4" name="Jenis Transaksi"/>
    <tableColumn id="5" name="Kategori"/>
    <tableColumn id="6" name="Nominal (Rp)"/>
    <tableColumn id="7" name="Saldo (Rp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18" customWidth="1" min="4" max="4"/>
    <col width="22" customWidth="1" min="5" max="5"/>
    <col width="18" customWidth="1" min="6" max="6"/>
    <col width="18" customWidth="1" min="7" max="7"/>
  </cols>
  <sheetData>
    <row r="1">
      <c r="A1" s="1" t="inlineStr">
        <is>
          <t>BUKU KAS UMKM — PEMISAHAN UANG USAHA</t>
        </is>
      </c>
    </row>
    <row r="2">
      <c r="A2" s="2" t="inlineStr">
        <is>
          <t>Nama Usaha</t>
        </is>
      </c>
      <c r="D2" s="2" t="inlineStr">
        <is>
          <t>Periode</t>
        </is>
      </c>
    </row>
    <row r="3">
      <c r="A3" s="2" t="inlineStr">
        <is>
          <t>Saldo Awal</t>
        </is>
      </c>
      <c r="B3" s="3" t="n">
        <v>0</v>
      </c>
      <c r="D3" s="2" t="inlineStr">
        <is>
          <t>Total Uang Masuk</t>
        </is>
      </c>
      <c r="E3" s="3">
        <f>SUMIF(D9:D208,"Uang Masuk",F9:F208)</f>
        <v/>
      </c>
    </row>
    <row r="4">
      <c r="D4" s="2" t="inlineStr">
        <is>
          <t>Total Uang Keluar</t>
        </is>
      </c>
      <c r="E4" s="3">
        <f>SUMIF(D9:D208,"Uang Keluar",F9:F208)</f>
        <v/>
      </c>
    </row>
    <row r="5">
      <c r="D5" s="2" t="inlineStr">
        <is>
          <t>Saldo Akhir</t>
        </is>
      </c>
      <c r="E5" s="3">
        <f>B3+E3-E4</f>
        <v/>
      </c>
    </row>
    <row r="8">
      <c r="A8" s="4" t="inlineStr">
        <is>
          <t>No</t>
        </is>
      </c>
      <c r="B8" s="4" t="inlineStr">
        <is>
          <t>Tanggal</t>
        </is>
      </c>
      <c r="C8" s="4" t="inlineStr">
        <is>
          <t>Keterangan</t>
        </is>
      </c>
      <c r="D8" s="4" t="inlineStr">
        <is>
          <t>Jenis Transaksi</t>
        </is>
      </c>
      <c r="E8" s="4" t="inlineStr">
        <is>
          <t>Kategori</t>
        </is>
      </c>
      <c r="F8" s="4" t="inlineStr">
        <is>
          <t>Nominal (Rp)</t>
        </is>
      </c>
      <c r="G8" s="4" t="inlineStr">
        <is>
          <t>Saldo (Rp)</t>
        </is>
      </c>
    </row>
    <row r="9">
      <c r="A9" s="5" t="n">
        <v>1</v>
      </c>
      <c r="B9" s="6" t="n"/>
      <c r="C9" s="5" t="n"/>
      <c r="D9" s="5" t="n"/>
      <c r="E9" s="5" t="n"/>
      <c r="F9" s="7" t="n"/>
      <c r="G9" s="7">
        <f>$B$3+SUMIF($D$9:D9,"Uang Masuk",$F$9:F9)-SUMIF($D$9:D9,"Uang Keluar",$F$9:F9)</f>
        <v/>
      </c>
    </row>
    <row r="10">
      <c r="A10" s="5" t="n">
        <v>2</v>
      </c>
      <c r="B10" s="6" t="n"/>
      <c r="C10" s="5" t="n"/>
      <c r="D10" s="5" t="n"/>
      <c r="E10" s="5" t="n"/>
      <c r="F10" s="7" t="n"/>
      <c r="G10" s="7">
        <f>$B$3+SUMIF($D$9:D10,"Uang Masuk",$F$9:F10)-SUMIF($D$9:D10,"Uang Keluar",$F$9:F10)</f>
        <v/>
      </c>
    </row>
    <row r="11">
      <c r="A11" s="5" t="n">
        <v>3</v>
      </c>
      <c r="B11" s="6" t="n"/>
      <c r="C11" s="5" t="n"/>
      <c r="D11" s="5" t="n"/>
      <c r="E11" s="5" t="n"/>
      <c r="F11" s="7" t="n"/>
      <c r="G11" s="7">
        <f>$B$3+SUMIF($D$9:D11,"Uang Masuk",$F$9:F11)-SUMIF($D$9:D11,"Uang Keluar",$F$9:F11)</f>
        <v/>
      </c>
    </row>
    <row r="12">
      <c r="A12" s="5" t="n">
        <v>4</v>
      </c>
      <c r="B12" s="6" t="n"/>
      <c r="C12" s="5" t="n"/>
      <c r="D12" s="5" t="n"/>
      <c r="E12" s="5" t="n"/>
      <c r="F12" s="7" t="n"/>
      <c r="G12" s="7">
        <f>$B$3+SUMIF($D$9:D12,"Uang Masuk",$F$9:F12)-SUMIF($D$9:D12,"Uang Keluar",$F$9:F12)</f>
        <v/>
      </c>
    </row>
    <row r="13">
      <c r="A13" s="5" t="n">
        <v>5</v>
      </c>
      <c r="B13" s="6" t="n"/>
      <c r="C13" s="5" t="n"/>
      <c r="D13" s="5" t="n"/>
      <c r="E13" s="5" t="n"/>
      <c r="F13" s="7" t="n"/>
      <c r="G13" s="7">
        <f>$B$3+SUMIF($D$9:D13,"Uang Masuk",$F$9:F13)-SUMIF($D$9:D13,"Uang Keluar",$F$9:F13)</f>
        <v/>
      </c>
    </row>
    <row r="14">
      <c r="A14" s="5" t="n">
        <v>6</v>
      </c>
      <c r="B14" s="6" t="n"/>
      <c r="C14" s="5" t="n"/>
      <c r="D14" s="5" t="n"/>
      <c r="E14" s="5" t="n"/>
      <c r="F14" s="7" t="n"/>
      <c r="G14" s="7">
        <f>$B$3+SUMIF($D$9:D14,"Uang Masuk",$F$9:F14)-SUMIF($D$9:D14,"Uang Keluar",$F$9:F14)</f>
        <v/>
      </c>
    </row>
    <row r="15">
      <c r="A15" s="5" t="n">
        <v>7</v>
      </c>
      <c r="B15" s="6" t="n"/>
      <c r="C15" s="5" t="n"/>
      <c r="D15" s="5" t="n"/>
      <c r="E15" s="5" t="n"/>
      <c r="F15" s="7" t="n"/>
      <c r="G15" s="7">
        <f>$B$3+SUMIF($D$9:D15,"Uang Masuk",$F$9:F15)-SUMIF($D$9:D15,"Uang Keluar",$F$9:F15)</f>
        <v/>
      </c>
    </row>
    <row r="16">
      <c r="A16" s="5" t="n">
        <v>8</v>
      </c>
      <c r="B16" s="6" t="n"/>
      <c r="C16" s="5" t="n"/>
      <c r="D16" s="5" t="n"/>
      <c r="E16" s="5" t="n"/>
      <c r="F16" s="7" t="n"/>
      <c r="G16" s="7">
        <f>$B$3+SUMIF($D$9:D16,"Uang Masuk",$F$9:F16)-SUMIF($D$9:D16,"Uang Keluar",$F$9:F16)</f>
        <v/>
      </c>
    </row>
    <row r="17">
      <c r="A17" s="5" t="n">
        <v>9</v>
      </c>
      <c r="B17" s="6" t="n"/>
      <c r="C17" s="5" t="n"/>
      <c r="D17" s="5" t="n"/>
      <c r="E17" s="5" t="n"/>
      <c r="F17" s="7" t="n"/>
      <c r="G17" s="7">
        <f>$B$3+SUMIF($D$9:D17,"Uang Masuk",$F$9:F17)-SUMIF($D$9:D17,"Uang Keluar",$F$9:F17)</f>
        <v/>
      </c>
    </row>
    <row r="18">
      <c r="A18" s="5" t="n">
        <v>10</v>
      </c>
      <c r="B18" s="6" t="n"/>
      <c r="C18" s="5" t="n"/>
      <c r="D18" s="5" t="n"/>
      <c r="E18" s="5" t="n"/>
      <c r="F18" s="7" t="n"/>
      <c r="G18" s="7">
        <f>$B$3+SUMIF($D$9:D18,"Uang Masuk",$F$9:F18)-SUMIF($D$9:D18,"Uang Keluar",$F$9:F18)</f>
        <v/>
      </c>
    </row>
    <row r="19">
      <c r="A19" s="5" t="n">
        <v>11</v>
      </c>
      <c r="B19" s="6" t="n"/>
      <c r="C19" s="5" t="n"/>
      <c r="D19" s="5" t="n"/>
      <c r="E19" s="5" t="n"/>
      <c r="F19" s="7" t="n"/>
      <c r="G19" s="7">
        <f>$B$3+SUMIF($D$9:D19,"Uang Masuk",$F$9:F19)-SUMIF($D$9:D19,"Uang Keluar",$F$9:F19)</f>
        <v/>
      </c>
    </row>
    <row r="20">
      <c r="A20" s="5" t="n">
        <v>12</v>
      </c>
      <c r="B20" s="6" t="n"/>
      <c r="C20" s="5" t="n"/>
      <c r="D20" s="5" t="n"/>
      <c r="E20" s="5" t="n"/>
      <c r="F20" s="7" t="n"/>
      <c r="G20" s="7">
        <f>$B$3+SUMIF($D$9:D20,"Uang Masuk",$F$9:F20)-SUMIF($D$9:D20,"Uang Keluar",$F$9:F20)</f>
        <v/>
      </c>
    </row>
    <row r="21">
      <c r="A21" s="5" t="n">
        <v>13</v>
      </c>
      <c r="B21" s="6" t="n"/>
      <c r="C21" s="5" t="n"/>
      <c r="D21" s="5" t="n"/>
      <c r="E21" s="5" t="n"/>
      <c r="F21" s="7" t="n"/>
      <c r="G21" s="7">
        <f>$B$3+SUMIF($D$9:D21,"Uang Masuk",$F$9:F21)-SUMIF($D$9:D21,"Uang Keluar",$F$9:F21)</f>
        <v/>
      </c>
    </row>
    <row r="22">
      <c r="A22" s="5" t="n">
        <v>14</v>
      </c>
      <c r="B22" s="6" t="n"/>
      <c r="C22" s="5" t="n"/>
      <c r="D22" s="5" t="n"/>
      <c r="E22" s="5" t="n"/>
      <c r="F22" s="7" t="n"/>
      <c r="G22" s="7">
        <f>$B$3+SUMIF($D$9:D22,"Uang Masuk",$F$9:F22)-SUMIF($D$9:D22,"Uang Keluar",$F$9:F22)</f>
        <v/>
      </c>
    </row>
    <row r="23">
      <c r="A23" s="5" t="n">
        <v>15</v>
      </c>
      <c r="B23" s="6" t="n"/>
      <c r="C23" s="5" t="n"/>
      <c r="D23" s="5" t="n"/>
      <c r="E23" s="5" t="n"/>
      <c r="F23" s="7" t="n"/>
      <c r="G23" s="7">
        <f>$B$3+SUMIF($D$9:D23,"Uang Masuk",$F$9:F23)-SUMIF($D$9:D23,"Uang Keluar",$F$9:F23)</f>
        <v/>
      </c>
    </row>
    <row r="24">
      <c r="A24" s="5" t="n">
        <v>16</v>
      </c>
      <c r="B24" s="6" t="n"/>
      <c r="C24" s="5" t="n"/>
      <c r="D24" s="5" t="n"/>
      <c r="E24" s="5" t="n"/>
      <c r="F24" s="7" t="n"/>
      <c r="G24" s="7">
        <f>$B$3+SUMIF($D$9:D24,"Uang Masuk",$F$9:F24)-SUMIF($D$9:D24,"Uang Keluar",$F$9:F24)</f>
        <v/>
      </c>
    </row>
    <row r="25">
      <c r="A25" s="5" t="n">
        <v>17</v>
      </c>
      <c r="B25" s="6" t="n"/>
      <c r="C25" s="5" t="n"/>
      <c r="D25" s="5" t="n"/>
      <c r="E25" s="5" t="n"/>
      <c r="F25" s="7" t="n"/>
      <c r="G25" s="7">
        <f>$B$3+SUMIF($D$9:D25,"Uang Masuk",$F$9:F25)-SUMIF($D$9:D25,"Uang Keluar",$F$9:F25)</f>
        <v/>
      </c>
    </row>
    <row r="26">
      <c r="A26" s="5" t="n">
        <v>18</v>
      </c>
      <c r="B26" s="6" t="n"/>
      <c r="C26" s="5" t="n"/>
      <c r="D26" s="5" t="n"/>
      <c r="E26" s="5" t="n"/>
      <c r="F26" s="7" t="n"/>
      <c r="G26" s="7">
        <f>$B$3+SUMIF($D$9:D26,"Uang Masuk",$F$9:F26)-SUMIF($D$9:D26,"Uang Keluar",$F$9:F26)</f>
        <v/>
      </c>
    </row>
    <row r="27">
      <c r="A27" s="5" t="n">
        <v>19</v>
      </c>
      <c r="B27" s="6" t="n"/>
      <c r="C27" s="5" t="n"/>
      <c r="D27" s="5" t="n"/>
      <c r="E27" s="5" t="n"/>
      <c r="F27" s="7" t="n"/>
      <c r="G27" s="7">
        <f>$B$3+SUMIF($D$9:D27,"Uang Masuk",$F$9:F27)-SUMIF($D$9:D27,"Uang Keluar",$F$9:F27)</f>
        <v/>
      </c>
    </row>
    <row r="28">
      <c r="A28" s="5" t="n">
        <v>20</v>
      </c>
      <c r="B28" s="6" t="n"/>
      <c r="C28" s="5" t="n"/>
      <c r="D28" s="5" t="n"/>
      <c r="E28" s="5" t="n"/>
      <c r="F28" s="7" t="n"/>
      <c r="G28" s="7">
        <f>$B$3+SUMIF($D$9:D28,"Uang Masuk",$F$9:F28)-SUMIF($D$9:D28,"Uang Keluar",$F$9:F28)</f>
        <v/>
      </c>
    </row>
    <row r="29">
      <c r="A29" s="5" t="n">
        <v>21</v>
      </c>
      <c r="B29" s="6" t="n"/>
      <c r="C29" s="5" t="n"/>
      <c r="D29" s="5" t="n"/>
      <c r="E29" s="5" t="n"/>
      <c r="F29" s="7" t="n"/>
      <c r="G29" s="7">
        <f>$B$3+SUMIF($D$9:D29,"Uang Masuk",$F$9:F29)-SUMIF($D$9:D29,"Uang Keluar",$F$9:F29)</f>
        <v/>
      </c>
    </row>
    <row r="30">
      <c r="A30" s="5" t="n">
        <v>22</v>
      </c>
      <c r="B30" s="6" t="n"/>
      <c r="C30" s="5" t="n"/>
      <c r="D30" s="5" t="n"/>
      <c r="E30" s="5" t="n"/>
      <c r="F30" s="7" t="n"/>
      <c r="G30" s="7">
        <f>$B$3+SUMIF($D$9:D30,"Uang Masuk",$F$9:F30)-SUMIF($D$9:D30,"Uang Keluar",$F$9:F30)</f>
        <v/>
      </c>
    </row>
    <row r="31">
      <c r="A31" s="5" t="n">
        <v>23</v>
      </c>
      <c r="B31" s="6" t="n"/>
      <c r="C31" s="5" t="n"/>
      <c r="D31" s="5" t="n"/>
      <c r="E31" s="5" t="n"/>
      <c r="F31" s="7" t="n"/>
      <c r="G31" s="7">
        <f>$B$3+SUMIF($D$9:D31,"Uang Masuk",$F$9:F31)-SUMIF($D$9:D31,"Uang Keluar",$F$9:F31)</f>
        <v/>
      </c>
    </row>
    <row r="32">
      <c r="A32" s="5" t="n">
        <v>24</v>
      </c>
      <c r="B32" s="6" t="n"/>
      <c r="C32" s="5" t="n"/>
      <c r="D32" s="5" t="n"/>
      <c r="E32" s="5" t="n"/>
      <c r="F32" s="7" t="n"/>
      <c r="G32" s="7">
        <f>$B$3+SUMIF($D$9:D32,"Uang Masuk",$F$9:F32)-SUMIF($D$9:D32,"Uang Keluar",$F$9:F32)</f>
        <v/>
      </c>
    </row>
    <row r="33">
      <c r="A33" s="5" t="n">
        <v>25</v>
      </c>
      <c r="B33" s="6" t="n"/>
      <c r="C33" s="5" t="n"/>
      <c r="D33" s="5" t="n"/>
      <c r="E33" s="5" t="n"/>
      <c r="F33" s="7" t="n"/>
      <c r="G33" s="7">
        <f>$B$3+SUMIF($D$9:D33,"Uang Masuk",$F$9:F33)-SUMIF($D$9:D33,"Uang Keluar",$F$9:F33)</f>
        <v/>
      </c>
    </row>
    <row r="34">
      <c r="A34" s="5" t="n">
        <v>26</v>
      </c>
      <c r="B34" s="6" t="n"/>
      <c r="C34" s="5" t="n"/>
      <c r="D34" s="5" t="n"/>
      <c r="E34" s="5" t="n"/>
      <c r="F34" s="7" t="n"/>
      <c r="G34" s="7">
        <f>$B$3+SUMIF($D$9:D34,"Uang Masuk",$F$9:F34)-SUMIF($D$9:D34,"Uang Keluar",$F$9:F34)</f>
        <v/>
      </c>
    </row>
    <row r="35">
      <c r="A35" s="5" t="n">
        <v>27</v>
      </c>
      <c r="B35" s="6" t="n"/>
      <c r="C35" s="5" t="n"/>
      <c r="D35" s="5" t="n"/>
      <c r="E35" s="5" t="n"/>
      <c r="F35" s="7" t="n"/>
      <c r="G35" s="7">
        <f>$B$3+SUMIF($D$9:D35,"Uang Masuk",$F$9:F35)-SUMIF($D$9:D35,"Uang Keluar",$F$9:F35)</f>
        <v/>
      </c>
    </row>
    <row r="36">
      <c r="A36" s="5" t="n">
        <v>28</v>
      </c>
      <c r="B36" s="6" t="n"/>
      <c r="C36" s="5" t="n"/>
      <c r="D36" s="5" t="n"/>
      <c r="E36" s="5" t="n"/>
      <c r="F36" s="7" t="n"/>
      <c r="G36" s="7">
        <f>$B$3+SUMIF($D$9:D36,"Uang Masuk",$F$9:F36)-SUMIF($D$9:D36,"Uang Keluar",$F$9:F36)</f>
        <v/>
      </c>
    </row>
    <row r="37">
      <c r="A37" s="5" t="n">
        <v>29</v>
      </c>
      <c r="B37" s="6" t="n"/>
      <c r="C37" s="5" t="n"/>
      <c r="D37" s="5" t="n"/>
      <c r="E37" s="5" t="n"/>
      <c r="F37" s="7" t="n"/>
      <c r="G37" s="7">
        <f>$B$3+SUMIF($D$9:D37,"Uang Masuk",$F$9:F37)-SUMIF($D$9:D37,"Uang Keluar",$F$9:F37)</f>
        <v/>
      </c>
    </row>
    <row r="38">
      <c r="A38" s="5" t="n">
        <v>30</v>
      </c>
      <c r="B38" s="6" t="n"/>
      <c r="C38" s="5" t="n"/>
      <c r="D38" s="5" t="n"/>
      <c r="E38" s="5" t="n"/>
      <c r="F38" s="7" t="n"/>
      <c r="G38" s="7">
        <f>$B$3+SUMIF($D$9:D38,"Uang Masuk",$F$9:F38)-SUMIF($D$9:D38,"Uang Keluar",$F$9:F38)</f>
        <v/>
      </c>
    </row>
    <row r="39">
      <c r="A39" s="5" t="n">
        <v>31</v>
      </c>
      <c r="B39" s="6" t="n"/>
      <c r="C39" s="5" t="n"/>
      <c r="D39" s="5" t="n"/>
      <c r="E39" s="5" t="n"/>
      <c r="F39" s="7" t="n"/>
      <c r="G39" s="7">
        <f>$B$3+SUMIF($D$9:D39,"Uang Masuk",$F$9:F39)-SUMIF($D$9:D39,"Uang Keluar",$F$9:F39)</f>
        <v/>
      </c>
    </row>
    <row r="40">
      <c r="A40" s="5" t="n">
        <v>32</v>
      </c>
      <c r="B40" s="6" t="n"/>
      <c r="C40" s="5" t="n"/>
      <c r="D40" s="5" t="n"/>
      <c r="E40" s="5" t="n"/>
      <c r="F40" s="7" t="n"/>
      <c r="G40" s="7">
        <f>$B$3+SUMIF($D$9:D40,"Uang Masuk",$F$9:F40)-SUMIF($D$9:D40,"Uang Keluar",$F$9:F40)</f>
        <v/>
      </c>
    </row>
    <row r="41">
      <c r="A41" s="5" t="n">
        <v>33</v>
      </c>
      <c r="B41" s="6" t="n"/>
      <c r="C41" s="5" t="n"/>
      <c r="D41" s="5" t="n"/>
      <c r="E41" s="5" t="n"/>
      <c r="F41" s="7" t="n"/>
      <c r="G41" s="7">
        <f>$B$3+SUMIF($D$9:D41,"Uang Masuk",$F$9:F41)-SUMIF($D$9:D41,"Uang Keluar",$F$9:F41)</f>
        <v/>
      </c>
    </row>
    <row r="42">
      <c r="A42" s="5" t="n">
        <v>34</v>
      </c>
      <c r="B42" s="6" t="n"/>
      <c r="C42" s="5" t="n"/>
      <c r="D42" s="5" t="n"/>
      <c r="E42" s="5" t="n"/>
      <c r="F42" s="7" t="n"/>
      <c r="G42" s="7">
        <f>$B$3+SUMIF($D$9:D42,"Uang Masuk",$F$9:F42)-SUMIF($D$9:D42,"Uang Keluar",$F$9:F42)</f>
        <v/>
      </c>
    </row>
    <row r="43">
      <c r="A43" s="5" t="n">
        <v>35</v>
      </c>
      <c r="B43" s="6" t="n"/>
      <c r="C43" s="5" t="n"/>
      <c r="D43" s="5" t="n"/>
      <c r="E43" s="5" t="n"/>
      <c r="F43" s="7" t="n"/>
      <c r="G43" s="7">
        <f>$B$3+SUMIF($D$9:D43,"Uang Masuk",$F$9:F43)-SUMIF($D$9:D43,"Uang Keluar",$F$9:F43)</f>
        <v/>
      </c>
    </row>
    <row r="44">
      <c r="A44" s="5" t="n">
        <v>36</v>
      </c>
      <c r="B44" s="6" t="n"/>
      <c r="C44" s="5" t="n"/>
      <c r="D44" s="5" t="n"/>
      <c r="E44" s="5" t="n"/>
      <c r="F44" s="7" t="n"/>
      <c r="G44" s="7">
        <f>$B$3+SUMIF($D$9:D44,"Uang Masuk",$F$9:F44)-SUMIF($D$9:D44,"Uang Keluar",$F$9:F44)</f>
        <v/>
      </c>
    </row>
    <row r="45">
      <c r="A45" s="5" t="n">
        <v>37</v>
      </c>
      <c r="B45" s="6" t="n"/>
      <c r="C45" s="5" t="n"/>
      <c r="D45" s="5" t="n"/>
      <c r="E45" s="5" t="n"/>
      <c r="F45" s="7" t="n"/>
      <c r="G45" s="7">
        <f>$B$3+SUMIF($D$9:D45,"Uang Masuk",$F$9:F45)-SUMIF($D$9:D45,"Uang Keluar",$F$9:F45)</f>
        <v/>
      </c>
    </row>
    <row r="46">
      <c r="A46" s="5" t="n">
        <v>38</v>
      </c>
      <c r="B46" s="6" t="n"/>
      <c r="C46" s="5" t="n"/>
      <c r="D46" s="5" t="n"/>
      <c r="E46" s="5" t="n"/>
      <c r="F46" s="7" t="n"/>
      <c r="G46" s="7">
        <f>$B$3+SUMIF($D$9:D46,"Uang Masuk",$F$9:F46)-SUMIF($D$9:D46,"Uang Keluar",$F$9:F46)</f>
        <v/>
      </c>
    </row>
    <row r="47">
      <c r="A47" s="5" t="n">
        <v>39</v>
      </c>
      <c r="B47" s="6" t="n"/>
      <c r="C47" s="5" t="n"/>
      <c r="D47" s="5" t="n"/>
      <c r="E47" s="5" t="n"/>
      <c r="F47" s="7" t="n"/>
      <c r="G47" s="7">
        <f>$B$3+SUMIF($D$9:D47,"Uang Masuk",$F$9:F47)-SUMIF($D$9:D47,"Uang Keluar",$F$9:F47)</f>
        <v/>
      </c>
    </row>
    <row r="48">
      <c r="A48" s="5" t="n">
        <v>40</v>
      </c>
      <c r="B48" s="6" t="n"/>
      <c r="C48" s="5" t="n"/>
      <c r="D48" s="5" t="n"/>
      <c r="E48" s="5" t="n"/>
      <c r="F48" s="7" t="n"/>
      <c r="G48" s="7">
        <f>$B$3+SUMIF($D$9:D48,"Uang Masuk",$F$9:F48)-SUMIF($D$9:D48,"Uang Keluar",$F$9:F48)</f>
        <v/>
      </c>
    </row>
    <row r="49">
      <c r="A49" s="5" t="n">
        <v>41</v>
      </c>
      <c r="B49" s="6" t="n"/>
      <c r="C49" s="5" t="n"/>
      <c r="D49" s="5" t="n"/>
      <c r="E49" s="5" t="n"/>
      <c r="F49" s="7" t="n"/>
      <c r="G49" s="7">
        <f>$B$3+SUMIF($D$9:D49,"Uang Masuk",$F$9:F49)-SUMIF($D$9:D49,"Uang Keluar",$F$9:F49)</f>
        <v/>
      </c>
    </row>
    <row r="50">
      <c r="A50" s="5" t="n">
        <v>42</v>
      </c>
      <c r="B50" s="6" t="n"/>
      <c r="C50" s="5" t="n"/>
      <c r="D50" s="5" t="n"/>
      <c r="E50" s="5" t="n"/>
      <c r="F50" s="7" t="n"/>
      <c r="G50" s="7">
        <f>$B$3+SUMIF($D$9:D50,"Uang Masuk",$F$9:F50)-SUMIF($D$9:D50,"Uang Keluar",$F$9:F50)</f>
        <v/>
      </c>
    </row>
    <row r="51">
      <c r="A51" s="5" t="n">
        <v>43</v>
      </c>
      <c r="B51" s="6" t="n"/>
      <c r="C51" s="5" t="n"/>
      <c r="D51" s="5" t="n"/>
      <c r="E51" s="5" t="n"/>
      <c r="F51" s="7" t="n"/>
      <c r="G51" s="7">
        <f>$B$3+SUMIF($D$9:D51,"Uang Masuk",$F$9:F51)-SUMIF($D$9:D51,"Uang Keluar",$F$9:F51)</f>
        <v/>
      </c>
    </row>
    <row r="52">
      <c r="A52" s="5" t="n">
        <v>44</v>
      </c>
      <c r="B52" s="6" t="n"/>
      <c r="C52" s="5" t="n"/>
      <c r="D52" s="5" t="n"/>
      <c r="E52" s="5" t="n"/>
      <c r="F52" s="7" t="n"/>
      <c r="G52" s="7">
        <f>$B$3+SUMIF($D$9:D52,"Uang Masuk",$F$9:F52)-SUMIF($D$9:D52,"Uang Keluar",$F$9:F52)</f>
        <v/>
      </c>
    </row>
    <row r="53">
      <c r="A53" s="5" t="n">
        <v>45</v>
      </c>
      <c r="B53" s="6" t="n"/>
      <c r="C53" s="5" t="n"/>
      <c r="D53" s="5" t="n"/>
      <c r="E53" s="5" t="n"/>
      <c r="F53" s="7" t="n"/>
      <c r="G53" s="7">
        <f>$B$3+SUMIF($D$9:D53,"Uang Masuk",$F$9:F53)-SUMIF($D$9:D53,"Uang Keluar",$F$9:F53)</f>
        <v/>
      </c>
    </row>
    <row r="54">
      <c r="A54" s="5" t="n">
        <v>46</v>
      </c>
      <c r="B54" s="6" t="n"/>
      <c r="C54" s="5" t="n"/>
      <c r="D54" s="5" t="n"/>
      <c r="E54" s="5" t="n"/>
      <c r="F54" s="7" t="n"/>
      <c r="G54" s="7">
        <f>$B$3+SUMIF($D$9:D54,"Uang Masuk",$F$9:F54)-SUMIF($D$9:D54,"Uang Keluar",$F$9:F54)</f>
        <v/>
      </c>
    </row>
    <row r="55">
      <c r="A55" s="5" t="n">
        <v>47</v>
      </c>
      <c r="B55" s="6" t="n"/>
      <c r="C55" s="5" t="n"/>
      <c r="D55" s="5" t="n"/>
      <c r="E55" s="5" t="n"/>
      <c r="F55" s="7" t="n"/>
      <c r="G55" s="7">
        <f>$B$3+SUMIF($D$9:D55,"Uang Masuk",$F$9:F55)-SUMIF($D$9:D55,"Uang Keluar",$F$9:F55)</f>
        <v/>
      </c>
    </row>
    <row r="56">
      <c r="A56" s="5" t="n">
        <v>48</v>
      </c>
      <c r="B56" s="6" t="n"/>
      <c r="C56" s="5" t="n"/>
      <c r="D56" s="5" t="n"/>
      <c r="E56" s="5" t="n"/>
      <c r="F56" s="7" t="n"/>
      <c r="G56" s="7">
        <f>$B$3+SUMIF($D$9:D56,"Uang Masuk",$F$9:F56)-SUMIF($D$9:D56,"Uang Keluar",$F$9:F56)</f>
        <v/>
      </c>
    </row>
    <row r="57">
      <c r="A57" s="5" t="n">
        <v>49</v>
      </c>
      <c r="B57" s="6" t="n"/>
      <c r="C57" s="5" t="n"/>
      <c r="D57" s="5" t="n"/>
      <c r="E57" s="5" t="n"/>
      <c r="F57" s="7" t="n"/>
      <c r="G57" s="7">
        <f>$B$3+SUMIF($D$9:D57,"Uang Masuk",$F$9:F57)-SUMIF($D$9:D57,"Uang Keluar",$F$9:F57)</f>
        <v/>
      </c>
    </row>
    <row r="58">
      <c r="A58" s="5" t="n">
        <v>50</v>
      </c>
      <c r="B58" s="6" t="n"/>
      <c r="C58" s="5" t="n"/>
      <c r="D58" s="5" t="n"/>
      <c r="E58" s="5" t="n"/>
      <c r="F58" s="7" t="n"/>
      <c r="G58" s="7">
        <f>$B$3+SUMIF($D$9:D58,"Uang Masuk",$F$9:F58)-SUMIF($D$9:D58,"Uang Keluar",$F$9:F58)</f>
        <v/>
      </c>
    </row>
    <row r="59">
      <c r="A59" s="5" t="n">
        <v>51</v>
      </c>
      <c r="B59" s="6" t="n"/>
      <c r="C59" s="5" t="n"/>
      <c r="D59" s="5" t="n"/>
      <c r="E59" s="5" t="n"/>
      <c r="F59" s="7" t="n"/>
      <c r="G59" s="7">
        <f>$B$3+SUMIF($D$9:D59,"Uang Masuk",$F$9:F59)-SUMIF($D$9:D59,"Uang Keluar",$F$9:F59)</f>
        <v/>
      </c>
    </row>
    <row r="60">
      <c r="A60" s="5" t="n">
        <v>52</v>
      </c>
      <c r="B60" s="6" t="n"/>
      <c r="C60" s="5" t="n"/>
      <c r="D60" s="5" t="n"/>
      <c r="E60" s="5" t="n"/>
      <c r="F60" s="7" t="n"/>
      <c r="G60" s="7">
        <f>$B$3+SUMIF($D$9:D60,"Uang Masuk",$F$9:F60)-SUMIF($D$9:D60,"Uang Keluar",$F$9:F60)</f>
        <v/>
      </c>
    </row>
    <row r="61">
      <c r="A61" s="5" t="n">
        <v>53</v>
      </c>
      <c r="B61" s="6" t="n"/>
      <c r="C61" s="5" t="n"/>
      <c r="D61" s="5" t="n"/>
      <c r="E61" s="5" t="n"/>
      <c r="F61" s="7" t="n"/>
      <c r="G61" s="7">
        <f>$B$3+SUMIF($D$9:D61,"Uang Masuk",$F$9:F61)-SUMIF($D$9:D61,"Uang Keluar",$F$9:F61)</f>
        <v/>
      </c>
    </row>
    <row r="62">
      <c r="A62" s="5" t="n">
        <v>54</v>
      </c>
      <c r="B62" s="6" t="n"/>
      <c r="C62" s="5" t="n"/>
      <c r="D62" s="5" t="n"/>
      <c r="E62" s="5" t="n"/>
      <c r="F62" s="7" t="n"/>
      <c r="G62" s="7">
        <f>$B$3+SUMIF($D$9:D62,"Uang Masuk",$F$9:F62)-SUMIF($D$9:D62,"Uang Keluar",$F$9:F62)</f>
        <v/>
      </c>
    </row>
    <row r="63">
      <c r="A63" s="5" t="n">
        <v>55</v>
      </c>
      <c r="B63" s="6" t="n"/>
      <c r="C63" s="5" t="n"/>
      <c r="D63" s="5" t="n"/>
      <c r="E63" s="5" t="n"/>
      <c r="F63" s="7" t="n"/>
      <c r="G63" s="7">
        <f>$B$3+SUMIF($D$9:D63,"Uang Masuk",$F$9:F63)-SUMIF($D$9:D63,"Uang Keluar",$F$9:F63)</f>
        <v/>
      </c>
    </row>
    <row r="64">
      <c r="A64" s="5" t="n">
        <v>56</v>
      </c>
      <c r="B64" s="6" t="n"/>
      <c r="C64" s="5" t="n"/>
      <c r="D64" s="5" t="n"/>
      <c r="E64" s="5" t="n"/>
      <c r="F64" s="7" t="n"/>
      <c r="G64" s="7">
        <f>$B$3+SUMIF($D$9:D64,"Uang Masuk",$F$9:F64)-SUMIF($D$9:D64,"Uang Keluar",$F$9:F64)</f>
        <v/>
      </c>
    </row>
    <row r="65">
      <c r="A65" s="5" t="n">
        <v>57</v>
      </c>
      <c r="B65" s="6" t="n"/>
      <c r="C65" s="5" t="n"/>
      <c r="D65" s="5" t="n"/>
      <c r="E65" s="5" t="n"/>
      <c r="F65" s="7" t="n"/>
      <c r="G65" s="7">
        <f>$B$3+SUMIF($D$9:D65,"Uang Masuk",$F$9:F65)-SUMIF($D$9:D65,"Uang Keluar",$F$9:F65)</f>
        <v/>
      </c>
    </row>
    <row r="66">
      <c r="A66" s="5" t="n">
        <v>58</v>
      </c>
      <c r="B66" s="6" t="n"/>
      <c r="C66" s="5" t="n"/>
      <c r="D66" s="5" t="n"/>
      <c r="E66" s="5" t="n"/>
      <c r="F66" s="7" t="n"/>
      <c r="G66" s="7">
        <f>$B$3+SUMIF($D$9:D66,"Uang Masuk",$F$9:F66)-SUMIF($D$9:D66,"Uang Keluar",$F$9:F66)</f>
        <v/>
      </c>
    </row>
    <row r="67">
      <c r="A67" s="5" t="n">
        <v>59</v>
      </c>
      <c r="B67" s="6" t="n"/>
      <c r="C67" s="5" t="n"/>
      <c r="D67" s="5" t="n"/>
      <c r="E67" s="5" t="n"/>
      <c r="F67" s="7" t="n"/>
      <c r="G67" s="7">
        <f>$B$3+SUMIF($D$9:D67,"Uang Masuk",$F$9:F67)-SUMIF($D$9:D67,"Uang Keluar",$F$9:F67)</f>
        <v/>
      </c>
    </row>
    <row r="68">
      <c r="A68" s="5" t="n">
        <v>60</v>
      </c>
      <c r="B68" s="6" t="n"/>
      <c r="C68" s="5" t="n"/>
      <c r="D68" s="5" t="n"/>
      <c r="E68" s="5" t="n"/>
      <c r="F68" s="7" t="n"/>
      <c r="G68" s="7">
        <f>$B$3+SUMIF($D$9:D68,"Uang Masuk",$F$9:F68)-SUMIF($D$9:D68,"Uang Keluar",$F$9:F68)</f>
        <v/>
      </c>
    </row>
    <row r="69">
      <c r="A69" s="5" t="n">
        <v>61</v>
      </c>
      <c r="B69" s="6" t="n"/>
      <c r="C69" s="5" t="n"/>
      <c r="D69" s="5" t="n"/>
      <c r="E69" s="5" t="n"/>
      <c r="F69" s="7" t="n"/>
      <c r="G69" s="7">
        <f>$B$3+SUMIF($D$9:D69,"Uang Masuk",$F$9:F69)-SUMIF($D$9:D69,"Uang Keluar",$F$9:F69)</f>
        <v/>
      </c>
    </row>
    <row r="70">
      <c r="A70" s="5" t="n">
        <v>62</v>
      </c>
      <c r="B70" s="6" t="n"/>
      <c r="C70" s="5" t="n"/>
      <c r="D70" s="5" t="n"/>
      <c r="E70" s="5" t="n"/>
      <c r="F70" s="7" t="n"/>
      <c r="G70" s="7">
        <f>$B$3+SUMIF($D$9:D70,"Uang Masuk",$F$9:F70)-SUMIF($D$9:D70,"Uang Keluar",$F$9:F70)</f>
        <v/>
      </c>
    </row>
    <row r="71">
      <c r="A71" s="5" t="n">
        <v>63</v>
      </c>
      <c r="B71" s="6" t="n"/>
      <c r="C71" s="5" t="n"/>
      <c r="D71" s="5" t="n"/>
      <c r="E71" s="5" t="n"/>
      <c r="F71" s="7" t="n"/>
      <c r="G71" s="7">
        <f>$B$3+SUMIF($D$9:D71,"Uang Masuk",$F$9:F71)-SUMIF($D$9:D71,"Uang Keluar",$F$9:F71)</f>
        <v/>
      </c>
    </row>
    <row r="72">
      <c r="A72" s="5" t="n">
        <v>64</v>
      </c>
      <c r="B72" s="6" t="n"/>
      <c r="C72" s="5" t="n"/>
      <c r="D72" s="5" t="n"/>
      <c r="E72" s="5" t="n"/>
      <c r="F72" s="7" t="n"/>
      <c r="G72" s="7">
        <f>$B$3+SUMIF($D$9:D72,"Uang Masuk",$F$9:F72)-SUMIF($D$9:D72,"Uang Keluar",$F$9:F72)</f>
        <v/>
      </c>
    </row>
    <row r="73">
      <c r="A73" s="5" t="n">
        <v>65</v>
      </c>
      <c r="B73" s="6" t="n"/>
      <c r="C73" s="5" t="n"/>
      <c r="D73" s="5" t="n"/>
      <c r="E73" s="5" t="n"/>
      <c r="F73" s="7" t="n"/>
      <c r="G73" s="7">
        <f>$B$3+SUMIF($D$9:D73,"Uang Masuk",$F$9:F73)-SUMIF($D$9:D73,"Uang Keluar",$F$9:F73)</f>
        <v/>
      </c>
    </row>
    <row r="74">
      <c r="A74" s="5" t="n">
        <v>66</v>
      </c>
      <c r="B74" s="6" t="n"/>
      <c r="C74" s="5" t="n"/>
      <c r="D74" s="5" t="n"/>
      <c r="E74" s="5" t="n"/>
      <c r="F74" s="7" t="n"/>
      <c r="G74" s="7">
        <f>$B$3+SUMIF($D$9:D74,"Uang Masuk",$F$9:F74)-SUMIF($D$9:D74,"Uang Keluar",$F$9:F74)</f>
        <v/>
      </c>
    </row>
    <row r="75">
      <c r="A75" s="5" t="n">
        <v>67</v>
      </c>
      <c r="B75" s="6" t="n"/>
      <c r="C75" s="5" t="n"/>
      <c r="D75" s="5" t="n"/>
      <c r="E75" s="5" t="n"/>
      <c r="F75" s="7" t="n"/>
      <c r="G75" s="7">
        <f>$B$3+SUMIF($D$9:D75,"Uang Masuk",$F$9:F75)-SUMIF($D$9:D75,"Uang Keluar",$F$9:F75)</f>
        <v/>
      </c>
    </row>
    <row r="76">
      <c r="A76" s="5" t="n">
        <v>68</v>
      </c>
      <c r="B76" s="6" t="n"/>
      <c r="C76" s="5" t="n"/>
      <c r="D76" s="5" t="n"/>
      <c r="E76" s="5" t="n"/>
      <c r="F76" s="7" t="n"/>
      <c r="G76" s="7">
        <f>$B$3+SUMIF($D$9:D76,"Uang Masuk",$F$9:F76)-SUMIF($D$9:D76,"Uang Keluar",$F$9:F76)</f>
        <v/>
      </c>
    </row>
    <row r="77">
      <c r="A77" s="5" t="n">
        <v>69</v>
      </c>
      <c r="B77" s="6" t="n"/>
      <c r="C77" s="5" t="n"/>
      <c r="D77" s="5" t="n"/>
      <c r="E77" s="5" t="n"/>
      <c r="F77" s="7" t="n"/>
      <c r="G77" s="7">
        <f>$B$3+SUMIF($D$9:D77,"Uang Masuk",$F$9:F77)-SUMIF($D$9:D77,"Uang Keluar",$F$9:F77)</f>
        <v/>
      </c>
    </row>
    <row r="78">
      <c r="A78" s="5" t="n">
        <v>70</v>
      </c>
      <c r="B78" s="6" t="n"/>
      <c r="C78" s="5" t="n"/>
      <c r="D78" s="5" t="n"/>
      <c r="E78" s="5" t="n"/>
      <c r="F78" s="7" t="n"/>
      <c r="G78" s="7">
        <f>$B$3+SUMIF($D$9:D78,"Uang Masuk",$F$9:F78)-SUMIF($D$9:D78,"Uang Keluar",$F$9:F78)</f>
        <v/>
      </c>
    </row>
    <row r="79">
      <c r="A79" s="5" t="n">
        <v>71</v>
      </c>
      <c r="B79" s="6" t="n"/>
      <c r="C79" s="5" t="n"/>
      <c r="D79" s="5" t="n"/>
      <c r="E79" s="5" t="n"/>
      <c r="F79" s="7" t="n"/>
      <c r="G79" s="7">
        <f>$B$3+SUMIF($D$9:D79,"Uang Masuk",$F$9:F79)-SUMIF($D$9:D79,"Uang Keluar",$F$9:F79)</f>
        <v/>
      </c>
    </row>
    <row r="80">
      <c r="A80" s="5" t="n">
        <v>72</v>
      </c>
      <c r="B80" s="6" t="n"/>
      <c r="C80" s="5" t="n"/>
      <c r="D80" s="5" t="n"/>
      <c r="E80" s="5" t="n"/>
      <c r="F80" s="7" t="n"/>
      <c r="G80" s="7">
        <f>$B$3+SUMIF($D$9:D80,"Uang Masuk",$F$9:F80)-SUMIF($D$9:D80,"Uang Keluar",$F$9:F80)</f>
        <v/>
      </c>
    </row>
    <row r="81">
      <c r="A81" s="5" t="n">
        <v>73</v>
      </c>
      <c r="B81" s="6" t="n"/>
      <c r="C81" s="5" t="n"/>
      <c r="D81" s="5" t="n"/>
      <c r="E81" s="5" t="n"/>
      <c r="F81" s="7" t="n"/>
      <c r="G81" s="7">
        <f>$B$3+SUMIF($D$9:D81,"Uang Masuk",$F$9:F81)-SUMIF($D$9:D81,"Uang Keluar",$F$9:F81)</f>
        <v/>
      </c>
    </row>
    <row r="82">
      <c r="A82" s="5" t="n">
        <v>74</v>
      </c>
      <c r="B82" s="6" t="n"/>
      <c r="C82" s="5" t="n"/>
      <c r="D82" s="5" t="n"/>
      <c r="E82" s="5" t="n"/>
      <c r="F82" s="7" t="n"/>
      <c r="G82" s="7">
        <f>$B$3+SUMIF($D$9:D82,"Uang Masuk",$F$9:F82)-SUMIF($D$9:D82,"Uang Keluar",$F$9:F82)</f>
        <v/>
      </c>
    </row>
    <row r="83">
      <c r="A83" s="5" t="n">
        <v>75</v>
      </c>
      <c r="B83" s="6" t="n"/>
      <c r="C83" s="5" t="n"/>
      <c r="D83" s="5" t="n"/>
      <c r="E83" s="5" t="n"/>
      <c r="F83" s="7" t="n"/>
      <c r="G83" s="7">
        <f>$B$3+SUMIF($D$9:D83,"Uang Masuk",$F$9:F83)-SUMIF($D$9:D83,"Uang Keluar",$F$9:F83)</f>
        <v/>
      </c>
    </row>
    <row r="84">
      <c r="A84" s="5" t="n">
        <v>76</v>
      </c>
      <c r="B84" s="6" t="n"/>
      <c r="C84" s="5" t="n"/>
      <c r="D84" s="5" t="n"/>
      <c r="E84" s="5" t="n"/>
      <c r="F84" s="7" t="n"/>
      <c r="G84" s="7">
        <f>$B$3+SUMIF($D$9:D84,"Uang Masuk",$F$9:F84)-SUMIF($D$9:D84,"Uang Keluar",$F$9:F84)</f>
        <v/>
      </c>
    </row>
    <row r="85">
      <c r="A85" s="5" t="n">
        <v>77</v>
      </c>
      <c r="B85" s="6" t="n"/>
      <c r="C85" s="5" t="n"/>
      <c r="D85" s="5" t="n"/>
      <c r="E85" s="5" t="n"/>
      <c r="F85" s="7" t="n"/>
      <c r="G85" s="7">
        <f>$B$3+SUMIF($D$9:D85,"Uang Masuk",$F$9:F85)-SUMIF($D$9:D85,"Uang Keluar",$F$9:F85)</f>
        <v/>
      </c>
    </row>
    <row r="86">
      <c r="A86" s="5" t="n">
        <v>78</v>
      </c>
      <c r="B86" s="6" t="n"/>
      <c r="C86" s="5" t="n"/>
      <c r="D86" s="5" t="n"/>
      <c r="E86" s="5" t="n"/>
      <c r="F86" s="7" t="n"/>
      <c r="G86" s="7">
        <f>$B$3+SUMIF($D$9:D86,"Uang Masuk",$F$9:F86)-SUMIF($D$9:D86,"Uang Keluar",$F$9:F86)</f>
        <v/>
      </c>
    </row>
    <row r="87">
      <c r="A87" s="5" t="n">
        <v>79</v>
      </c>
      <c r="B87" s="6" t="n"/>
      <c r="C87" s="5" t="n"/>
      <c r="D87" s="5" t="n"/>
      <c r="E87" s="5" t="n"/>
      <c r="F87" s="7" t="n"/>
      <c r="G87" s="7">
        <f>$B$3+SUMIF($D$9:D87,"Uang Masuk",$F$9:F87)-SUMIF($D$9:D87,"Uang Keluar",$F$9:F87)</f>
        <v/>
      </c>
    </row>
    <row r="88">
      <c r="A88" s="5" t="n">
        <v>80</v>
      </c>
      <c r="B88" s="6" t="n"/>
      <c r="C88" s="5" t="n"/>
      <c r="D88" s="5" t="n"/>
      <c r="E88" s="5" t="n"/>
      <c r="F88" s="7" t="n"/>
      <c r="G88" s="7">
        <f>$B$3+SUMIF($D$9:D88,"Uang Masuk",$F$9:F88)-SUMIF($D$9:D88,"Uang Keluar",$F$9:F88)</f>
        <v/>
      </c>
    </row>
    <row r="89">
      <c r="A89" s="5" t="n">
        <v>81</v>
      </c>
      <c r="B89" s="6" t="n"/>
      <c r="C89" s="5" t="n"/>
      <c r="D89" s="5" t="n"/>
      <c r="E89" s="5" t="n"/>
      <c r="F89" s="7" t="n"/>
      <c r="G89" s="7">
        <f>$B$3+SUMIF($D$9:D89,"Uang Masuk",$F$9:F89)-SUMIF($D$9:D89,"Uang Keluar",$F$9:F89)</f>
        <v/>
      </c>
    </row>
    <row r="90">
      <c r="A90" s="5" t="n">
        <v>82</v>
      </c>
      <c r="B90" s="6" t="n"/>
      <c r="C90" s="5" t="n"/>
      <c r="D90" s="5" t="n"/>
      <c r="E90" s="5" t="n"/>
      <c r="F90" s="7" t="n"/>
      <c r="G90" s="7">
        <f>$B$3+SUMIF($D$9:D90,"Uang Masuk",$F$9:F90)-SUMIF($D$9:D90,"Uang Keluar",$F$9:F90)</f>
        <v/>
      </c>
    </row>
    <row r="91">
      <c r="A91" s="5" t="n">
        <v>83</v>
      </c>
      <c r="B91" s="6" t="n"/>
      <c r="C91" s="5" t="n"/>
      <c r="D91" s="5" t="n"/>
      <c r="E91" s="5" t="n"/>
      <c r="F91" s="7" t="n"/>
      <c r="G91" s="7">
        <f>$B$3+SUMIF($D$9:D91,"Uang Masuk",$F$9:F91)-SUMIF($D$9:D91,"Uang Keluar",$F$9:F91)</f>
        <v/>
      </c>
    </row>
    <row r="92">
      <c r="A92" s="5" t="n">
        <v>84</v>
      </c>
      <c r="B92" s="6" t="n"/>
      <c r="C92" s="5" t="n"/>
      <c r="D92" s="5" t="n"/>
      <c r="E92" s="5" t="n"/>
      <c r="F92" s="7" t="n"/>
      <c r="G92" s="7">
        <f>$B$3+SUMIF($D$9:D92,"Uang Masuk",$F$9:F92)-SUMIF($D$9:D92,"Uang Keluar",$F$9:F92)</f>
        <v/>
      </c>
    </row>
    <row r="93">
      <c r="A93" s="5" t="n">
        <v>85</v>
      </c>
      <c r="B93" s="6" t="n"/>
      <c r="C93" s="5" t="n"/>
      <c r="D93" s="5" t="n"/>
      <c r="E93" s="5" t="n"/>
      <c r="F93" s="7" t="n"/>
      <c r="G93" s="7">
        <f>$B$3+SUMIF($D$9:D93,"Uang Masuk",$F$9:F93)-SUMIF($D$9:D93,"Uang Keluar",$F$9:F93)</f>
        <v/>
      </c>
    </row>
    <row r="94">
      <c r="A94" s="5" t="n">
        <v>86</v>
      </c>
      <c r="B94" s="6" t="n"/>
      <c r="C94" s="5" t="n"/>
      <c r="D94" s="5" t="n"/>
      <c r="E94" s="5" t="n"/>
      <c r="F94" s="7" t="n"/>
      <c r="G94" s="7">
        <f>$B$3+SUMIF($D$9:D94,"Uang Masuk",$F$9:F94)-SUMIF($D$9:D94,"Uang Keluar",$F$9:F94)</f>
        <v/>
      </c>
    </row>
    <row r="95">
      <c r="A95" s="5" t="n">
        <v>87</v>
      </c>
      <c r="B95" s="6" t="n"/>
      <c r="C95" s="5" t="n"/>
      <c r="D95" s="5" t="n"/>
      <c r="E95" s="5" t="n"/>
      <c r="F95" s="7" t="n"/>
      <c r="G95" s="7">
        <f>$B$3+SUMIF($D$9:D95,"Uang Masuk",$F$9:F95)-SUMIF($D$9:D95,"Uang Keluar",$F$9:F95)</f>
        <v/>
      </c>
    </row>
    <row r="96">
      <c r="A96" s="5" t="n">
        <v>88</v>
      </c>
      <c r="B96" s="6" t="n"/>
      <c r="C96" s="5" t="n"/>
      <c r="D96" s="5" t="n"/>
      <c r="E96" s="5" t="n"/>
      <c r="F96" s="7" t="n"/>
      <c r="G96" s="7">
        <f>$B$3+SUMIF($D$9:D96,"Uang Masuk",$F$9:F96)-SUMIF($D$9:D96,"Uang Keluar",$F$9:F96)</f>
        <v/>
      </c>
    </row>
    <row r="97">
      <c r="A97" s="5" t="n">
        <v>89</v>
      </c>
      <c r="B97" s="6" t="n"/>
      <c r="C97" s="5" t="n"/>
      <c r="D97" s="5" t="n"/>
      <c r="E97" s="5" t="n"/>
      <c r="F97" s="7" t="n"/>
      <c r="G97" s="7">
        <f>$B$3+SUMIF($D$9:D97,"Uang Masuk",$F$9:F97)-SUMIF($D$9:D97,"Uang Keluar",$F$9:F97)</f>
        <v/>
      </c>
    </row>
    <row r="98">
      <c r="A98" s="5" t="n">
        <v>90</v>
      </c>
      <c r="B98" s="6" t="n"/>
      <c r="C98" s="5" t="n"/>
      <c r="D98" s="5" t="n"/>
      <c r="E98" s="5" t="n"/>
      <c r="F98" s="7" t="n"/>
      <c r="G98" s="7">
        <f>$B$3+SUMIF($D$9:D98,"Uang Masuk",$F$9:F98)-SUMIF($D$9:D98,"Uang Keluar",$F$9:F98)</f>
        <v/>
      </c>
    </row>
    <row r="99">
      <c r="A99" s="5" t="n">
        <v>91</v>
      </c>
      <c r="B99" s="6" t="n"/>
      <c r="C99" s="5" t="n"/>
      <c r="D99" s="5" t="n"/>
      <c r="E99" s="5" t="n"/>
      <c r="F99" s="7" t="n"/>
      <c r="G99" s="7">
        <f>$B$3+SUMIF($D$9:D99,"Uang Masuk",$F$9:F99)-SUMIF($D$9:D99,"Uang Keluar",$F$9:F99)</f>
        <v/>
      </c>
    </row>
    <row r="100">
      <c r="A100" s="5" t="n">
        <v>92</v>
      </c>
      <c r="B100" s="6" t="n"/>
      <c r="C100" s="5" t="n"/>
      <c r="D100" s="5" t="n"/>
      <c r="E100" s="5" t="n"/>
      <c r="F100" s="7" t="n"/>
      <c r="G100" s="7">
        <f>$B$3+SUMIF($D$9:D100,"Uang Masuk",$F$9:F100)-SUMIF($D$9:D100,"Uang Keluar",$F$9:F100)</f>
        <v/>
      </c>
    </row>
    <row r="101">
      <c r="A101" s="5" t="n">
        <v>93</v>
      </c>
      <c r="B101" s="6" t="n"/>
      <c r="C101" s="5" t="n"/>
      <c r="D101" s="5" t="n"/>
      <c r="E101" s="5" t="n"/>
      <c r="F101" s="7" t="n"/>
      <c r="G101" s="7">
        <f>$B$3+SUMIF($D$9:D101,"Uang Masuk",$F$9:F101)-SUMIF($D$9:D101,"Uang Keluar",$F$9:F101)</f>
        <v/>
      </c>
    </row>
    <row r="102">
      <c r="A102" s="5" t="n">
        <v>94</v>
      </c>
      <c r="B102" s="6" t="n"/>
      <c r="C102" s="5" t="n"/>
      <c r="D102" s="5" t="n"/>
      <c r="E102" s="5" t="n"/>
      <c r="F102" s="7" t="n"/>
      <c r="G102" s="7">
        <f>$B$3+SUMIF($D$9:D102,"Uang Masuk",$F$9:F102)-SUMIF($D$9:D102,"Uang Keluar",$F$9:F102)</f>
        <v/>
      </c>
    </row>
    <row r="103">
      <c r="A103" s="5" t="n">
        <v>95</v>
      </c>
      <c r="B103" s="6" t="n"/>
      <c r="C103" s="5" t="n"/>
      <c r="D103" s="5" t="n"/>
      <c r="E103" s="5" t="n"/>
      <c r="F103" s="7" t="n"/>
      <c r="G103" s="7">
        <f>$B$3+SUMIF($D$9:D103,"Uang Masuk",$F$9:F103)-SUMIF($D$9:D103,"Uang Keluar",$F$9:F103)</f>
        <v/>
      </c>
    </row>
    <row r="104">
      <c r="A104" s="5" t="n">
        <v>96</v>
      </c>
      <c r="B104" s="6" t="n"/>
      <c r="C104" s="5" t="n"/>
      <c r="D104" s="5" t="n"/>
      <c r="E104" s="5" t="n"/>
      <c r="F104" s="7" t="n"/>
      <c r="G104" s="7">
        <f>$B$3+SUMIF($D$9:D104,"Uang Masuk",$F$9:F104)-SUMIF($D$9:D104,"Uang Keluar",$F$9:F104)</f>
        <v/>
      </c>
    </row>
    <row r="105">
      <c r="A105" s="5" t="n">
        <v>97</v>
      </c>
      <c r="B105" s="6" t="n"/>
      <c r="C105" s="5" t="n"/>
      <c r="D105" s="5" t="n"/>
      <c r="E105" s="5" t="n"/>
      <c r="F105" s="7" t="n"/>
      <c r="G105" s="7">
        <f>$B$3+SUMIF($D$9:D105,"Uang Masuk",$F$9:F105)-SUMIF($D$9:D105,"Uang Keluar",$F$9:F105)</f>
        <v/>
      </c>
    </row>
    <row r="106">
      <c r="A106" s="5" t="n">
        <v>98</v>
      </c>
      <c r="B106" s="6" t="n"/>
      <c r="C106" s="5" t="n"/>
      <c r="D106" s="5" t="n"/>
      <c r="E106" s="5" t="n"/>
      <c r="F106" s="7" t="n"/>
      <c r="G106" s="7">
        <f>$B$3+SUMIF($D$9:D106,"Uang Masuk",$F$9:F106)-SUMIF($D$9:D106,"Uang Keluar",$F$9:F106)</f>
        <v/>
      </c>
    </row>
    <row r="107">
      <c r="A107" s="5" t="n">
        <v>99</v>
      </c>
      <c r="B107" s="6" t="n"/>
      <c r="C107" s="5" t="n"/>
      <c r="D107" s="5" t="n"/>
      <c r="E107" s="5" t="n"/>
      <c r="F107" s="7" t="n"/>
      <c r="G107" s="7">
        <f>$B$3+SUMIF($D$9:D107,"Uang Masuk",$F$9:F107)-SUMIF($D$9:D107,"Uang Keluar",$F$9:F107)</f>
        <v/>
      </c>
    </row>
    <row r="108">
      <c r="A108" s="5" t="n">
        <v>100</v>
      </c>
      <c r="B108" s="6" t="n"/>
      <c r="C108" s="5" t="n"/>
      <c r="D108" s="5" t="n"/>
      <c r="E108" s="5" t="n"/>
      <c r="F108" s="7" t="n"/>
      <c r="G108" s="7">
        <f>$B$3+SUMIF($D$9:D108,"Uang Masuk",$F$9:F108)-SUMIF($D$9:D108,"Uang Keluar",$F$9:F108)</f>
        <v/>
      </c>
    </row>
    <row r="109">
      <c r="A109" s="5" t="n">
        <v>101</v>
      </c>
      <c r="B109" s="6" t="n"/>
      <c r="C109" s="5" t="n"/>
      <c r="D109" s="5" t="n"/>
      <c r="E109" s="5" t="n"/>
      <c r="F109" s="7" t="n"/>
      <c r="G109" s="7">
        <f>$B$3+SUMIF($D$9:D109,"Uang Masuk",$F$9:F109)-SUMIF($D$9:D109,"Uang Keluar",$F$9:F109)</f>
        <v/>
      </c>
    </row>
    <row r="110">
      <c r="A110" s="5" t="n">
        <v>102</v>
      </c>
      <c r="B110" s="6" t="n"/>
      <c r="C110" s="5" t="n"/>
      <c r="D110" s="5" t="n"/>
      <c r="E110" s="5" t="n"/>
      <c r="F110" s="7" t="n"/>
      <c r="G110" s="7">
        <f>$B$3+SUMIF($D$9:D110,"Uang Masuk",$F$9:F110)-SUMIF($D$9:D110,"Uang Keluar",$F$9:F110)</f>
        <v/>
      </c>
    </row>
    <row r="111">
      <c r="A111" s="5" t="n">
        <v>103</v>
      </c>
      <c r="B111" s="6" t="n"/>
      <c r="C111" s="5" t="n"/>
      <c r="D111" s="5" t="n"/>
      <c r="E111" s="5" t="n"/>
      <c r="F111" s="7" t="n"/>
      <c r="G111" s="7">
        <f>$B$3+SUMIF($D$9:D111,"Uang Masuk",$F$9:F111)-SUMIF($D$9:D111,"Uang Keluar",$F$9:F111)</f>
        <v/>
      </c>
    </row>
    <row r="112">
      <c r="A112" s="5" t="n">
        <v>104</v>
      </c>
      <c r="B112" s="6" t="n"/>
      <c r="C112" s="5" t="n"/>
      <c r="D112" s="5" t="n"/>
      <c r="E112" s="5" t="n"/>
      <c r="F112" s="7" t="n"/>
      <c r="G112" s="7">
        <f>$B$3+SUMIF($D$9:D112,"Uang Masuk",$F$9:F112)-SUMIF($D$9:D112,"Uang Keluar",$F$9:F112)</f>
        <v/>
      </c>
    </row>
    <row r="113">
      <c r="A113" s="5" t="n">
        <v>105</v>
      </c>
      <c r="B113" s="6" t="n"/>
      <c r="C113" s="5" t="n"/>
      <c r="D113" s="5" t="n"/>
      <c r="E113" s="5" t="n"/>
      <c r="F113" s="7" t="n"/>
      <c r="G113" s="7">
        <f>$B$3+SUMIF($D$9:D113,"Uang Masuk",$F$9:F113)-SUMIF($D$9:D113,"Uang Keluar",$F$9:F113)</f>
        <v/>
      </c>
    </row>
    <row r="114">
      <c r="A114" s="5" t="n">
        <v>106</v>
      </c>
      <c r="B114" s="6" t="n"/>
      <c r="C114" s="5" t="n"/>
      <c r="D114" s="5" t="n"/>
      <c r="E114" s="5" t="n"/>
      <c r="F114" s="7" t="n"/>
      <c r="G114" s="7">
        <f>$B$3+SUMIF($D$9:D114,"Uang Masuk",$F$9:F114)-SUMIF($D$9:D114,"Uang Keluar",$F$9:F114)</f>
        <v/>
      </c>
    </row>
    <row r="115">
      <c r="A115" s="5" t="n">
        <v>107</v>
      </c>
      <c r="B115" s="6" t="n"/>
      <c r="C115" s="5" t="n"/>
      <c r="D115" s="5" t="n"/>
      <c r="E115" s="5" t="n"/>
      <c r="F115" s="7" t="n"/>
      <c r="G115" s="7">
        <f>$B$3+SUMIF($D$9:D115,"Uang Masuk",$F$9:F115)-SUMIF($D$9:D115,"Uang Keluar",$F$9:F115)</f>
        <v/>
      </c>
    </row>
    <row r="116">
      <c r="A116" s="5" t="n">
        <v>108</v>
      </c>
      <c r="B116" s="6" t="n"/>
      <c r="C116" s="5" t="n"/>
      <c r="D116" s="5" t="n"/>
      <c r="E116" s="5" t="n"/>
      <c r="F116" s="7" t="n"/>
      <c r="G116" s="7">
        <f>$B$3+SUMIF($D$9:D116,"Uang Masuk",$F$9:F116)-SUMIF($D$9:D116,"Uang Keluar",$F$9:F116)</f>
        <v/>
      </c>
    </row>
    <row r="117">
      <c r="A117" s="5" t="n">
        <v>109</v>
      </c>
      <c r="B117" s="6" t="n"/>
      <c r="C117" s="5" t="n"/>
      <c r="D117" s="5" t="n"/>
      <c r="E117" s="5" t="n"/>
      <c r="F117" s="7" t="n"/>
      <c r="G117" s="7">
        <f>$B$3+SUMIF($D$9:D117,"Uang Masuk",$F$9:F117)-SUMIF($D$9:D117,"Uang Keluar",$F$9:F117)</f>
        <v/>
      </c>
    </row>
    <row r="118">
      <c r="A118" s="5" t="n">
        <v>110</v>
      </c>
      <c r="B118" s="6" t="n"/>
      <c r="C118" s="5" t="n"/>
      <c r="D118" s="5" t="n"/>
      <c r="E118" s="5" t="n"/>
      <c r="F118" s="7" t="n"/>
      <c r="G118" s="7">
        <f>$B$3+SUMIF($D$9:D118,"Uang Masuk",$F$9:F118)-SUMIF($D$9:D118,"Uang Keluar",$F$9:F118)</f>
        <v/>
      </c>
    </row>
    <row r="119">
      <c r="A119" s="5" t="n">
        <v>111</v>
      </c>
      <c r="B119" s="6" t="n"/>
      <c r="C119" s="5" t="n"/>
      <c r="D119" s="5" t="n"/>
      <c r="E119" s="5" t="n"/>
      <c r="F119" s="7" t="n"/>
      <c r="G119" s="7">
        <f>$B$3+SUMIF($D$9:D119,"Uang Masuk",$F$9:F119)-SUMIF($D$9:D119,"Uang Keluar",$F$9:F119)</f>
        <v/>
      </c>
    </row>
    <row r="120">
      <c r="A120" s="5" t="n">
        <v>112</v>
      </c>
      <c r="B120" s="6" t="n"/>
      <c r="C120" s="5" t="n"/>
      <c r="D120" s="5" t="n"/>
      <c r="E120" s="5" t="n"/>
      <c r="F120" s="7" t="n"/>
      <c r="G120" s="7">
        <f>$B$3+SUMIF($D$9:D120,"Uang Masuk",$F$9:F120)-SUMIF($D$9:D120,"Uang Keluar",$F$9:F120)</f>
        <v/>
      </c>
    </row>
    <row r="121">
      <c r="A121" s="5" t="n">
        <v>113</v>
      </c>
      <c r="B121" s="6" t="n"/>
      <c r="C121" s="5" t="n"/>
      <c r="D121" s="5" t="n"/>
      <c r="E121" s="5" t="n"/>
      <c r="F121" s="7" t="n"/>
      <c r="G121" s="7">
        <f>$B$3+SUMIF($D$9:D121,"Uang Masuk",$F$9:F121)-SUMIF($D$9:D121,"Uang Keluar",$F$9:F121)</f>
        <v/>
      </c>
    </row>
    <row r="122">
      <c r="A122" s="5" t="n">
        <v>114</v>
      </c>
      <c r="B122" s="6" t="n"/>
      <c r="C122" s="5" t="n"/>
      <c r="D122" s="5" t="n"/>
      <c r="E122" s="5" t="n"/>
      <c r="F122" s="7" t="n"/>
      <c r="G122" s="7">
        <f>$B$3+SUMIF($D$9:D122,"Uang Masuk",$F$9:F122)-SUMIF($D$9:D122,"Uang Keluar",$F$9:F122)</f>
        <v/>
      </c>
    </row>
    <row r="123">
      <c r="A123" s="5" t="n">
        <v>115</v>
      </c>
      <c r="B123" s="6" t="n"/>
      <c r="C123" s="5" t="n"/>
      <c r="D123" s="5" t="n"/>
      <c r="E123" s="5" t="n"/>
      <c r="F123" s="7" t="n"/>
      <c r="G123" s="7">
        <f>$B$3+SUMIF($D$9:D123,"Uang Masuk",$F$9:F123)-SUMIF($D$9:D123,"Uang Keluar",$F$9:F123)</f>
        <v/>
      </c>
    </row>
    <row r="124">
      <c r="A124" s="5" t="n">
        <v>116</v>
      </c>
      <c r="B124" s="6" t="n"/>
      <c r="C124" s="5" t="n"/>
      <c r="D124" s="5" t="n"/>
      <c r="E124" s="5" t="n"/>
      <c r="F124" s="7" t="n"/>
      <c r="G124" s="7">
        <f>$B$3+SUMIF($D$9:D124,"Uang Masuk",$F$9:F124)-SUMIF($D$9:D124,"Uang Keluar",$F$9:F124)</f>
        <v/>
      </c>
    </row>
    <row r="125">
      <c r="A125" s="5" t="n">
        <v>117</v>
      </c>
      <c r="B125" s="6" t="n"/>
      <c r="C125" s="5" t="n"/>
      <c r="D125" s="5" t="n"/>
      <c r="E125" s="5" t="n"/>
      <c r="F125" s="7" t="n"/>
      <c r="G125" s="7">
        <f>$B$3+SUMIF($D$9:D125,"Uang Masuk",$F$9:F125)-SUMIF($D$9:D125,"Uang Keluar",$F$9:F125)</f>
        <v/>
      </c>
    </row>
    <row r="126">
      <c r="A126" s="5" t="n">
        <v>118</v>
      </c>
      <c r="B126" s="6" t="n"/>
      <c r="C126" s="5" t="n"/>
      <c r="D126" s="5" t="n"/>
      <c r="E126" s="5" t="n"/>
      <c r="F126" s="7" t="n"/>
      <c r="G126" s="7">
        <f>$B$3+SUMIF($D$9:D126,"Uang Masuk",$F$9:F126)-SUMIF($D$9:D126,"Uang Keluar",$F$9:F126)</f>
        <v/>
      </c>
    </row>
    <row r="127">
      <c r="A127" s="5" t="n">
        <v>119</v>
      </c>
      <c r="B127" s="6" t="n"/>
      <c r="C127" s="5" t="n"/>
      <c r="D127" s="5" t="n"/>
      <c r="E127" s="5" t="n"/>
      <c r="F127" s="7" t="n"/>
      <c r="G127" s="7">
        <f>$B$3+SUMIF($D$9:D127,"Uang Masuk",$F$9:F127)-SUMIF($D$9:D127,"Uang Keluar",$F$9:F127)</f>
        <v/>
      </c>
    </row>
    <row r="128">
      <c r="A128" s="5" t="n">
        <v>120</v>
      </c>
      <c r="B128" s="6" t="n"/>
      <c r="C128" s="5" t="n"/>
      <c r="D128" s="5" t="n"/>
      <c r="E128" s="5" t="n"/>
      <c r="F128" s="7" t="n"/>
      <c r="G128" s="7">
        <f>$B$3+SUMIF($D$9:D128,"Uang Masuk",$F$9:F128)-SUMIF($D$9:D128,"Uang Keluar",$F$9:F128)</f>
        <v/>
      </c>
    </row>
    <row r="129">
      <c r="A129" s="5" t="n">
        <v>121</v>
      </c>
      <c r="B129" s="6" t="n"/>
      <c r="C129" s="5" t="n"/>
      <c r="D129" s="5" t="n"/>
      <c r="E129" s="5" t="n"/>
      <c r="F129" s="7" t="n"/>
      <c r="G129" s="7">
        <f>$B$3+SUMIF($D$9:D129,"Uang Masuk",$F$9:F129)-SUMIF($D$9:D129,"Uang Keluar",$F$9:F129)</f>
        <v/>
      </c>
    </row>
    <row r="130">
      <c r="A130" s="5" t="n">
        <v>122</v>
      </c>
      <c r="B130" s="6" t="n"/>
      <c r="C130" s="5" t="n"/>
      <c r="D130" s="5" t="n"/>
      <c r="E130" s="5" t="n"/>
      <c r="F130" s="7" t="n"/>
      <c r="G130" s="7">
        <f>$B$3+SUMIF($D$9:D130,"Uang Masuk",$F$9:F130)-SUMIF($D$9:D130,"Uang Keluar",$F$9:F130)</f>
        <v/>
      </c>
    </row>
    <row r="131">
      <c r="A131" s="5" t="n">
        <v>123</v>
      </c>
      <c r="B131" s="6" t="n"/>
      <c r="C131" s="5" t="n"/>
      <c r="D131" s="5" t="n"/>
      <c r="E131" s="5" t="n"/>
      <c r="F131" s="7" t="n"/>
      <c r="G131" s="7">
        <f>$B$3+SUMIF($D$9:D131,"Uang Masuk",$F$9:F131)-SUMIF($D$9:D131,"Uang Keluar",$F$9:F131)</f>
        <v/>
      </c>
    </row>
    <row r="132">
      <c r="A132" s="5" t="n">
        <v>124</v>
      </c>
      <c r="B132" s="6" t="n"/>
      <c r="C132" s="5" t="n"/>
      <c r="D132" s="5" t="n"/>
      <c r="E132" s="5" t="n"/>
      <c r="F132" s="7" t="n"/>
      <c r="G132" s="7">
        <f>$B$3+SUMIF($D$9:D132,"Uang Masuk",$F$9:F132)-SUMIF($D$9:D132,"Uang Keluar",$F$9:F132)</f>
        <v/>
      </c>
    </row>
    <row r="133">
      <c r="A133" s="5" t="n">
        <v>125</v>
      </c>
      <c r="B133" s="6" t="n"/>
      <c r="C133" s="5" t="n"/>
      <c r="D133" s="5" t="n"/>
      <c r="E133" s="5" t="n"/>
      <c r="F133" s="7" t="n"/>
      <c r="G133" s="7">
        <f>$B$3+SUMIF($D$9:D133,"Uang Masuk",$F$9:F133)-SUMIF($D$9:D133,"Uang Keluar",$F$9:F133)</f>
        <v/>
      </c>
    </row>
    <row r="134">
      <c r="A134" s="5" t="n">
        <v>126</v>
      </c>
      <c r="B134" s="6" t="n"/>
      <c r="C134" s="5" t="n"/>
      <c r="D134" s="5" t="n"/>
      <c r="E134" s="5" t="n"/>
      <c r="F134" s="7" t="n"/>
      <c r="G134" s="7">
        <f>$B$3+SUMIF($D$9:D134,"Uang Masuk",$F$9:F134)-SUMIF($D$9:D134,"Uang Keluar",$F$9:F134)</f>
        <v/>
      </c>
    </row>
    <row r="135">
      <c r="A135" s="5" t="n">
        <v>127</v>
      </c>
      <c r="B135" s="6" t="n"/>
      <c r="C135" s="5" t="n"/>
      <c r="D135" s="5" t="n"/>
      <c r="E135" s="5" t="n"/>
      <c r="F135" s="7" t="n"/>
      <c r="G135" s="7">
        <f>$B$3+SUMIF($D$9:D135,"Uang Masuk",$F$9:F135)-SUMIF($D$9:D135,"Uang Keluar",$F$9:F135)</f>
        <v/>
      </c>
    </row>
    <row r="136">
      <c r="A136" s="5" t="n">
        <v>128</v>
      </c>
      <c r="B136" s="6" t="n"/>
      <c r="C136" s="5" t="n"/>
      <c r="D136" s="5" t="n"/>
      <c r="E136" s="5" t="n"/>
      <c r="F136" s="7" t="n"/>
      <c r="G136" s="7">
        <f>$B$3+SUMIF($D$9:D136,"Uang Masuk",$F$9:F136)-SUMIF($D$9:D136,"Uang Keluar",$F$9:F136)</f>
        <v/>
      </c>
    </row>
    <row r="137">
      <c r="A137" s="5" t="n">
        <v>129</v>
      </c>
      <c r="B137" s="6" t="n"/>
      <c r="C137" s="5" t="n"/>
      <c r="D137" s="5" t="n"/>
      <c r="E137" s="5" t="n"/>
      <c r="F137" s="7" t="n"/>
      <c r="G137" s="7">
        <f>$B$3+SUMIF($D$9:D137,"Uang Masuk",$F$9:F137)-SUMIF($D$9:D137,"Uang Keluar",$F$9:F137)</f>
        <v/>
      </c>
    </row>
    <row r="138">
      <c r="A138" s="5" t="n">
        <v>130</v>
      </c>
      <c r="B138" s="6" t="n"/>
      <c r="C138" s="5" t="n"/>
      <c r="D138" s="5" t="n"/>
      <c r="E138" s="5" t="n"/>
      <c r="F138" s="7" t="n"/>
      <c r="G138" s="7">
        <f>$B$3+SUMIF($D$9:D138,"Uang Masuk",$F$9:F138)-SUMIF($D$9:D138,"Uang Keluar",$F$9:F138)</f>
        <v/>
      </c>
    </row>
    <row r="139">
      <c r="A139" s="5" t="n">
        <v>131</v>
      </c>
      <c r="B139" s="6" t="n"/>
      <c r="C139" s="5" t="n"/>
      <c r="D139" s="5" t="n"/>
      <c r="E139" s="5" t="n"/>
      <c r="F139" s="7" t="n"/>
      <c r="G139" s="7">
        <f>$B$3+SUMIF($D$9:D139,"Uang Masuk",$F$9:F139)-SUMIF($D$9:D139,"Uang Keluar",$F$9:F139)</f>
        <v/>
      </c>
    </row>
    <row r="140">
      <c r="A140" s="5" t="n">
        <v>132</v>
      </c>
      <c r="B140" s="6" t="n"/>
      <c r="C140" s="5" t="n"/>
      <c r="D140" s="5" t="n"/>
      <c r="E140" s="5" t="n"/>
      <c r="F140" s="7" t="n"/>
      <c r="G140" s="7">
        <f>$B$3+SUMIF($D$9:D140,"Uang Masuk",$F$9:F140)-SUMIF($D$9:D140,"Uang Keluar",$F$9:F140)</f>
        <v/>
      </c>
    </row>
    <row r="141">
      <c r="A141" s="5" t="n">
        <v>133</v>
      </c>
      <c r="B141" s="6" t="n"/>
      <c r="C141" s="5" t="n"/>
      <c r="D141" s="5" t="n"/>
      <c r="E141" s="5" t="n"/>
      <c r="F141" s="7" t="n"/>
      <c r="G141" s="7">
        <f>$B$3+SUMIF($D$9:D141,"Uang Masuk",$F$9:F141)-SUMIF($D$9:D141,"Uang Keluar",$F$9:F141)</f>
        <v/>
      </c>
    </row>
    <row r="142">
      <c r="A142" s="5" t="n">
        <v>134</v>
      </c>
      <c r="B142" s="6" t="n"/>
      <c r="C142" s="5" t="n"/>
      <c r="D142" s="5" t="n"/>
      <c r="E142" s="5" t="n"/>
      <c r="F142" s="7" t="n"/>
      <c r="G142" s="7">
        <f>$B$3+SUMIF($D$9:D142,"Uang Masuk",$F$9:F142)-SUMIF($D$9:D142,"Uang Keluar",$F$9:F142)</f>
        <v/>
      </c>
    </row>
    <row r="143">
      <c r="A143" s="5" t="n">
        <v>135</v>
      </c>
      <c r="B143" s="6" t="n"/>
      <c r="C143" s="5" t="n"/>
      <c r="D143" s="5" t="n"/>
      <c r="E143" s="5" t="n"/>
      <c r="F143" s="7" t="n"/>
      <c r="G143" s="7">
        <f>$B$3+SUMIF($D$9:D143,"Uang Masuk",$F$9:F143)-SUMIF($D$9:D143,"Uang Keluar",$F$9:F143)</f>
        <v/>
      </c>
    </row>
    <row r="144">
      <c r="A144" s="5" t="n">
        <v>136</v>
      </c>
      <c r="B144" s="6" t="n"/>
      <c r="C144" s="5" t="n"/>
      <c r="D144" s="5" t="n"/>
      <c r="E144" s="5" t="n"/>
      <c r="F144" s="7" t="n"/>
      <c r="G144" s="7">
        <f>$B$3+SUMIF($D$9:D144,"Uang Masuk",$F$9:F144)-SUMIF($D$9:D144,"Uang Keluar",$F$9:F144)</f>
        <v/>
      </c>
    </row>
    <row r="145">
      <c r="A145" s="5" t="n">
        <v>137</v>
      </c>
      <c r="B145" s="6" t="n"/>
      <c r="C145" s="5" t="n"/>
      <c r="D145" s="5" t="n"/>
      <c r="E145" s="5" t="n"/>
      <c r="F145" s="7" t="n"/>
      <c r="G145" s="7">
        <f>$B$3+SUMIF($D$9:D145,"Uang Masuk",$F$9:F145)-SUMIF($D$9:D145,"Uang Keluar",$F$9:F145)</f>
        <v/>
      </c>
    </row>
    <row r="146">
      <c r="A146" s="5" t="n">
        <v>138</v>
      </c>
      <c r="B146" s="6" t="n"/>
      <c r="C146" s="5" t="n"/>
      <c r="D146" s="5" t="n"/>
      <c r="E146" s="5" t="n"/>
      <c r="F146" s="7" t="n"/>
      <c r="G146" s="7">
        <f>$B$3+SUMIF($D$9:D146,"Uang Masuk",$F$9:F146)-SUMIF($D$9:D146,"Uang Keluar",$F$9:F146)</f>
        <v/>
      </c>
    </row>
    <row r="147">
      <c r="A147" s="5" t="n">
        <v>139</v>
      </c>
      <c r="B147" s="6" t="n"/>
      <c r="C147" s="5" t="n"/>
      <c r="D147" s="5" t="n"/>
      <c r="E147" s="5" t="n"/>
      <c r="F147" s="7" t="n"/>
      <c r="G147" s="7">
        <f>$B$3+SUMIF($D$9:D147,"Uang Masuk",$F$9:F147)-SUMIF($D$9:D147,"Uang Keluar",$F$9:F147)</f>
        <v/>
      </c>
    </row>
    <row r="148">
      <c r="A148" s="5" t="n">
        <v>140</v>
      </c>
      <c r="B148" s="6" t="n"/>
      <c r="C148" s="5" t="n"/>
      <c r="D148" s="5" t="n"/>
      <c r="E148" s="5" t="n"/>
      <c r="F148" s="7" t="n"/>
      <c r="G148" s="7">
        <f>$B$3+SUMIF($D$9:D148,"Uang Masuk",$F$9:F148)-SUMIF($D$9:D148,"Uang Keluar",$F$9:F148)</f>
        <v/>
      </c>
    </row>
    <row r="149">
      <c r="A149" s="5" t="n">
        <v>141</v>
      </c>
      <c r="B149" s="6" t="n"/>
      <c r="C149" s="5" t="n"/>
      <c r="D149" s="5" t="n"/>
      <c r="E149" s="5" t="n"/>
      <c r="F149" s="7" t="n"/>
      <c r="G149" s="7">
        <f>$B$3+SUMIF($D$9:D149,"Uang Masuk",$F$9:F149)-SUMIF($D$9:D149,"Uang Keluar",$F$9:F149)</f>
        <v/>
      </c>
    </row>
    <row r="150">
      <c r="A150" s="5" t="n">
        <v>142</v>
      </c>
      <c r="B150" s="6" t="n"/>
      <c r="C150" s="5" t="n"/>
      <c r="D150" s="5" t="n"/>
      <c r="E150" s="5" t="n"/>
      <c r="F150" s="7" t="n"/>
      <c r="G150" s="7">
        <f>$B$3+SUMIF($D$9:D150,"Uang Masuk",$F$9:F150)-SUMIF($D$9:D150,"Uang Keluar",$F$9:F150)</f>
        <v/>
      </c>
    </row>
    <row r="151">
      <c r="A151" s="5" t="n">
        <v>143</v>
      </c>
      <c r="B151" s="6" t="n"/>
      <c r="C151" s="5" t="n"/>
      <c r="D151" s="5" t="n"/>
      <c r="E151" s="5" t="n"/>
      <c r="F151" s="7" t="n"/>
      <c r="G151" s="7">
        <f>$B$3+SUMIF($D$9:D151,"Uang Masuk",$F$9:F151)-SUMIF($D$9:D151,"Uang Keluar",$F$9:F151)</f>
        <v/>
      </c>
    </row>
    <row r="152">
      <c r="A152" s="5" t="n">
        <v>144</v>
      </c>
      <c r="B152" s="6" t="n"/>
      <c r="C152" s="5" t="n"/>
      <c r="D152" s="5" t="n"/>
      <c r="E152" s="5" t="n"/>
      <c r="F152" s="7" t="n"/>
      <c r="G152" s="7">
        <f>$B$3+SUMIF($D$9:D152,"Uang Masuk",$F$9:F152)-SUMIF($D$9:D152,"Uang Keluar",$F$9:F152)</f>
        <v/>
      </c>
    </row>
    <row r="153">
      <c r="A153" s="5" t="n">
        <v>145</v>
      </c>
      <c r="B153" s="6" t="n"/>
      <c r="C153" s="5" t="n"/>
      <c r="D153" s="5" t="n"/>
      <c r="E153" s="5" t="n"/>
      <c r="F153" s="7" t="n"/>
      <c r="G153" s="7">
        <f>$B$3+SUMIF($D$9:D153,"Uang Masuk",$F$9:F153)-SUMIF($D$9:D153,"Uang Keluar",$F$9:F153)</f>
        <v/>
      </c>
    </row>
    <row r="154">
      <c r="A154" s="5" t="n">
        <v>146</v>
      </c>
      <c r="B154" s="6" t="n"/>
      <c r="C154" s="5" t="n"/>
      <c r="D154" s="5" t="n"/>
      <c r="E154" s="5" t="n"/>
      <c r="F154" s="7" t="n"/>
      <c r="G154" s="7">
        <f>$B$3+SUMIF($D$9:D154,"Uang Masuk",$F$9:F154)-SUMIF($D$9:D154,"Uang Keluar",$F$9:F154)</f>
        <v/>
      </c>
    </row>
    <row r="155">
      <c r="A155" s="5" t="n">
        <v>147</v>
      </c>
      <c r="B155" s="6" t="n"/>
      <c r="C155" s="5" t="n"/>
      <c r="D155" s="5" t="n"/>
      <c r="E155" s="5" t="n"/>
      <c r="F155" s="7" t="n"/>
      <c r="G155" s="7">
        <f>$B$3+SUMIF($D$9:D155,"Uang Masuk",$F$9:F155)-SUMIF($D$9:D155,"Uang Keluar",$F$9:F155)</f>
        <v/>
      </c>
    </row>
    <row r="156">
      <c r="A156" s="5" t="n">
        <v>148</v>
      </c>
      <c r="B156" s="6" t="n"/>
      <c r="C156" s="5" t="n"/>
      <c r="D156" s="5" t="n"/>
      <c r="E156" s="5" t="n"/>
      <c r="F156" s="7" t="n"/>
      <c r="G156" s="7">
        <f>$B$3+SUMIF($D$9:D156,"Uang Masuk",$F$9:F156)-SUMIF($D$9:D156,"Uang Keluar",$F$9:F156)</f>
        <v/>
      </c>
    </row>
    <row r="157">
      <c r="A157" s="5" t="n">
        <v>149</v>
      </c>
      <c r="B157" s="6" t="n"/>
      <c r="C157" s="5" t="n"/>
      <c r="D157" s="5" t="n"/>
      <c r="E157" s="5" t="n"/>
      <c r="F157" s="7" t="n"/>
      <c r="G157" s="7">
        <f>$B$3+SUMIF($D$9:D157,"Uang Masuk",$F$9:F157)-SUMIF($D$9:D157,"Uang Keluar",$F$9:F157)</f>
        <v/>
      </c>
    </row>
    <row r="158">
      <c r="A158" s="5" t="n">
        <v>150</v>
      </c>
      <c r="B158" s="6" t="n"/>
      <c r="C158" s="5" t="n"/>
      <c r="D158" s="5" t="n"/>
      <c r="E158" s="5" t="n"/>
      <c r="F158" s="7" t="n"/>
      <c r="G158" s="7">
        <f>$B$3+SUMIF($D$9:D158,"Uang Masuk",$F$9:F158)-SUMIF($D$9:D158,"Uang Keluar",$F$9:F158)</f>
        <v/>
      </c>
    </row>
    <row r="159">
      <c r="A159" s="5" t="n">
        <v>151</v>
      </c>
      <c r="B159" s="6" t="n"/>
      <c r="C159" s="5" t="n"/>
      <c r="D159" s="5" t="n"/>
      <c r="E159" s="5" t="n"/>
      <c r="F159" s="7" t="n"/>
      <c r="G159" s="7">
        <f>$B$3+SUMIF($D$9:D159,"Uang Masuk",$F$9:F159)-SUMIF($D$9:D159,"Uang Keluar",$F$9:F159)</f>
        <v/>
      </c>
    </row>
    <row r="160">
      <c r="A160" s="5" t="n">
        <v>152</v>
      </c>
      <c r="B160" s="6" t="n"/>
      <c r="C160" s="5" t="n"/>
      <c r="D160" s="5" t="n"/>
      <c r="E160" s="5" t="n"/>
      <c r="F160" s="7" t="n"/>
      <c r="G160" s="7">
        <f>$B$3+SUMIF($D$9:D160,"Uang Masuk",$F$9:F160)-SUMIF($D$9:D160,"Uang Keluar",$F$9:F160)</f>
        <v/>
      </c>
    </row>
    <row r="161">
      <c r="A161" s="5" t="n">
        <v>153</v>
      </c>
      <c r="B161" s="6" t="n"/>
      <c r="C161" s="5" t="n"/>
      <c r="D161" s="5" t="n"/>
      <c r="E161" s="5" t="n"/>
      <c r="F161" s="7" t="n"/>
      <c r="G161" s="7">
        <f>$B$3+SUMIF($D$9:D161,"Uang Masuk",$F$9:F161)-SUMIF($D$9:D161,"Uang Keluar",$F$9:F161)</f>
        <v/>
      </c>
    </row>
    <row r="162">
      <c r="A162" s="5" t="n">
        <v>154</v>
      </c>
      <c r="B162" s="6" t="n"/>
      <c r="C162" s="5" t="n"/>
      <c r="D162" s="5" t="n"/>
      <c r="E162" s="5" t="n"/>
      <c r="F162" s="7" t="n"/>
      <c r="G162" s="7">
        <f>$B$3+SUMIF($D$9:D162,"Uang Masuk",$F$9:F162)-SUMIF($D$9:D162,"Uang Keluar",$F$9:F162)</f>
        <v/>
      </c>
    </row>
    <row r="163">
      <c r="A163" s="5" t="n">
        <v>155</v>
      </c>
      <c r="B163" s="6" t="n"/>
      <c r="C163" s="5" t="n"/>
      <c r="D163" s="5" t="n"/>
      <c r="E163" s="5" t="n"/>
      <c r="F163" s="7" t="n"/>
      <c r="G163" s="7">
        <f>$B$3+SUMIF($D$9:D163,"Uang Masuk",$F$9:F163)-SUMIF($D$9:D163,"Uang Keluar",$F$9:F163)</f>
        <v/>
      </c>
    </row>
    <row r="164">
      <c r="A164" s="5" t="n">
        <v>156</v>
      </c>
      <c r="B164" s="6" t="n"/>
      <c r="C164" s="5" t="n"/>
      <c r="D164" s="5" t="n"/>
      <c r="E164" s="5" t="n"/>
      <c r="F164" s="7" t="n"/>
      <c r="G164" s="7">
        <f>$B$3+SUMIF($D$9:D164,"Uang Masuk",$F$9:F164)-SUMIF($D$9:D164,"Uang Keluar",$F$9:F164)</f>
        <v/>
      </c>
    </row>
    <row r="165">
      <c r="A165" s="5" t="n">
        <v>157</v>
      </c>
      <c r="B165" s="6" t="n"/>
      <c r="C165" s="5" t="n"/>
      <c r="D165" s="5" t="n"/>
      <c r="E165" s="5" t="n"/>
      <c r="F165" s="7" t="n"/>
      <c r="G165" s="7">
        <f>$B$3+SUMIF($D$9:D165,"Uang Masuk",$F$9:F165)-SUMIF($D$9:D165,"Uang Keluar",$F$9:F165)</f>
        <v/>
      </c>
    </row>
    <row r="166">
      <c r="A166" s="5" t="n">
        <v>158</v>
      </c>
      <c r="B166" s="6" t="n"/>
      <c r="C166" s="5" t="n"/>
      <c r="D166" s="5" t="n"/>
      <c r="E166" s="5" t="n"/>
      <c r="F166" s="7" t="n"/>
      <c r="G166" s="7">
        <f>$B$3+SUMIF($D$9:D166,"Uang Masuk",$F$9:F166)-SUMIF($D$9:D166,"Uang Keluar",$F$9:F166)</f>
        <v/>
      </c>
    </row>
    <row r="167">
      <c r="A167" s="5" t="n">
        <v>159</v>
      </c>
      <c r="B167" s="6" t="n"/>
      <c r="C167" s="5" t="n"/>
      <c r="D167" s="5" t="n"/>
      <c r="E167" s="5" t="n"/>
      <c r="F167" s="7" t="n"/>
      <c r="G167" s="7">
        <f>$B$3+SUMIF($D$9:D167,"Uang Masuk",$F$9:F167)-SUMIF($D$9:D167,"Uang Keluar",$F$9:F167)</f>
        <v/>
      </c>
    </row>
    <row r="168">
      <c r="A168" s="5" t="n">
        <v>160</v>
      </c>
      <c r="B168" s="6" t="n"/>
      <c r="C168" s="5" t="n"/>
      <c r="D168" s="5" t="n"/>
      <c r="E168" s="5" t="n"/>
      <c r="F168" s="7" t="n"/>
      <c r="G168" s="7">
        <f>$B$3+SUMIF($D$9:D168,"Uang Masuk",$F$9:F168)-SUMIF($D$9:D168,"Uang Keluar",$F$9:F168)</f>
        <v/>
      </c>
    </row>
    <row r="169">
      <c r="A169" s="5" t="n">
        <v>161</v>
      </c>
      <c r="B169" s="6" t="n"/>
      <c r="C169" s="5" t="n"/>
      <c r="D169" s="5" t="n"/>
      <c r="E169" s="5" t="n"/>
      <c r="F169" s="7" t="n"/>
      <c r="G169" s="7">
        <f>$B$3+SUMIF($D$9:D169,"Uang Masuk",$F$9:F169)-SUMIF($D$9:D169,"Uang Keluar",$F$9:F169)</f>
        <v/>
      </c>
    </row>
    <row r="170">
      <c r="A170" s="5" t="n">
        <v>162</v>
      </c>
      <c r="B170" s="6" t="n"/>
      <c r="C170" s="5" t="n"/>
      <c r="D170" s="5" t="n"/>
      <c r="E170" s="5" t="n"/>
      <c r="F170" s="7" t="n"/>
      <c r="G170" s="7">
        <f>$B$3+SUMIF($D$9:D170,"Uang Masuk",$F$9:F170)-SUMIF($D$9:D170,"Uang Keluar",$F$9:F170)</f>
        <v/>
      </c>
    </row>
    <row r="171">
      <c r="A171" s="5" t="n">
        <v>163</v>
      </c>
      <c r="B171" s="6" t="n"/>
      <c r="C171" s="5" t="n"/>
      <c r="D171" s="5" t="n"/>
      <c r="E171" s="5" t="n"/>
      <c r="F171" s="7" t="n"/>
      <c r="G171" s="7">
        <f>$B$3+SUMIF($D$9:D171,"Uang Masuk",$F$9:F171)-SUMIF($D$9:D171,"Uang Keluar",$F$9:F171)</f>
        <v/>
      </c>
    </row>
    <row r="172">
      <c r="A172" s="5" t="n">
        <v>164</v>
      </c>
      <c r="B172" s="6" t="n"/>
      <c r="C172" s="5" t="n"/>
      <c r="D172" s="5" t="n"/>
      <c r="E172" s="5" t="n"/>
      <c r="F172" s="7" t="n"/>
      <c r="G172" s="7">
        <f>$B$3+SUMIF($D$9:D172,"Uang Masuk",$F$9:F172)-SUMIF($D$9:D172,"Uang Keluar",$F$9:F172)</f>
        <v/>
      </c>
    </row>
    <row r="173">
      <c r="A173" s="5" t="n">
        <v>165</v>
      </c>
      <c r="B173" s="6" t="n"/>
      <c r="C173" s="5" t="n"/>
      <c r="D173" s="5" t="n"/>
      <c r="E173" s="5" t="n"/>
      <c r="F173" s="7" t="n"/>
      <c r="G173" s="7">
        <f>$B$3+SUMIF($D$9:D173,"Uang Masuk",$F$9:F173)-SUMIF($D$9:D173,"Uang Keluar",$F$9:F173)</f>
        <v/>
      </c>
    </row>
    <row r="174">
      <c r="A174" s="5" t="n">
        <v>166</v>
      </c>
      <c r="B174" s="6" t="n"/>
      <c r="C174" s="5" t="n"/>
      <c r="D174" s="5" t="n"/>
      <c r="E174" s="5" t="n"/>
      <c r="F174" s="7" t="n"/>
      <c r="G174" s="7">
        <f>$B$3+SUMIF($D$9:D174,"Uang Masuk",$F$9:F174)-SUMIF($D$9:D174,"Uang Keluar",$F$9:F174)</f>
        <v/>
      </c>
    </row>
    <row r="175">
      <c r="A175" s="5" t="n">
        <v>167</v>
      </c>
      <c r="B175" s="6" t="n"/>
      <c r="C175" s="5" t="n"/>
      <c r="D175" s="5" t="n"/>
      <c r="E175" s="5" t="n"/>
      <c r="F175" s="7" t="n"/>
      <c r="G175" s="7">
        <f>$B$3+SUMIF($D$9:D175,"Uang Masuk",$F$9:F175)-SUMIF($D$9:D175,"Uang Keluar",$F$9:F175)</f>
        <v/>
      </c>
    </row>
    <row r="176">
      <c r="A176" s="5" t="n">
        <v>168</v>
      </c>
      <c r="B176" s="6" t="n"/>
      <c r="C176" s="5" t="n"/>
      <c r="D176" s="5" t="n"/>
      <c r="E176" s="5" t="n"/>
      <c r="F176" s="7" t="n"/>
      <c r="G176" s="7">
        <f>$B$3+SUMIF($D$9:D176,"Uang Masuk",$F$9:F176)-SUMIF($D$9:D176,"Uang Keluar",$F$9:F176)</f>
        <v/>
      </c>
    </row>
    <row r="177">
      <c r="A177" s="5" t="n">
        <v>169</v>
      </c>
      <c r="B177" s="6" t="n"/>
      <c r="C177" s="5" t="n"/>
      <c r="D177" s="5" t="n"/>
      <c r="E177" s="5" t="n"/>
      <c r="F177" s="7" t="n"/>
      <c r="G177" s="7">
        <f>$B$3+SUMIF($D$9:D177,"Uang Masuk",$F$9:F177)-SUMIF($D$9:D177,"Uang Keluar",$F$9:F177)</f>
        <v/>
      </c>
    </row>
    <row r="178">
      <c r="A178" s="5" t="n">
        <v>170</v>
      </c>
      <c r="B178" s="6" t="n"/>
      <c r="C178" s="5" t="n"/>
      <c r="D178" s="5" t="n"/>
      <c r="E178" s="5" t="n"/>
      <c r="F178" s="7" t="n"/>
      <c r="G178" s="7">
        <f>$B$3+SUMIF($D$9:D178,"Uang Masuk",$F$9:F178)-SUMIF($D$9:D178,"Uang Keluar",$F$9:F178)</f>
        <v/>
      </c>
    </row>
    <row r="179">
      <c r="A179" s="5" t="n">
        <v>171</v>
      </c>
      <c r="B179" s="6" t="n"/>
      <c r="C179" s="5" t="n"/>
      <c r="D179" s="5" t="n"/>
      <c r="E179" s="5" t="n"/>
      <c r="F179" s="7" t="n"/>
      <c r="G179" s="7">
        <f>$B$3+SUMIF($D$9:D179,"Uang Masuk",$F$9:F179)-SUMIF($D$9:D179,"Uang Keluar",$F$9:F179)</f>
        <v/>
      </c>
    </row>
    <row r="180">
      <c r="A180" s="5" t="n">
        <v>172</v>
      </c>
      <c r="B180" s="6" t="n"/>
      <c r="C180" s="5" t="n"/>
      <c r="D180" s="5" t="n"/>
      <c r="E180" s="5" t="n"/>
      <c r="F180" s="7" t="n"/>
      <c r="G180" s="7">
        <f>$B$3+SUMIF($D$9:D180,"Uang Masuk",$F$9:F180)-SUMIF($D$9:D180,"Uang Keluar",$F$9:F180)</f>
        <v/>
      </c>
    </row>
    <row r="181">
      <c r="A181" s="5" t="n">
        <v>173</v>
      </c>
      <c r="B181" s="6" t="n"/>
      <c r="C181" s="5" t="n"/>
      <c r="D181" s="5" t="n"/>
      <c r="E181" s="5" t="n"/>
      <c r="F181" s="7" t="n"/>
      <c r="G181" s="7">
        <f>$B$3+SUMIF($D$9:D181,"Uang Masuk",$F$9:F181)-SUMIF($D$9:D181,"Uang Keluar",$F$9:F181)</f>
        <v/>
      </c>
    </row>
    <row r="182">
      <c r="A182" s="5" t="n">
        <v>174</v>
      </c>
      <c r="B182" s="6" t="n"/>
      <c r="C182" s="5" t="n"/>
      <c r="D182" s="5" t="n"/>
      <c r="E182" s="5" t="n"/>
      <c r="F182" s="7" t="n"/>
      <c r="G182" s="7">
        <f>$B$3+SUMIF($D$9:D182,"Uang Masuk",$F$9:F182)-SUMIF($D$9:D182,"Uang Keluar",$F$9:F182)</f>
        <v/>
      </c>
    </row>
    <row r="183">
      <c r="A183" s="5" t="n">
        <v>175</v>
      </c>
      <c r="B183" s="6" t="n"/>
      <c r="C183" s="5" t="n"/>
      <c r="D183" s="5" t="n"/>
      <c r="E183" s="5" t="n"/>
      <c r="F183" s="7" t="n"/>
      <c r="G183" s="7">
        <f>$B$3+SUMIF($D$9:D183,"Uang Masuk",$F$9:F183)-SUMIF($D$9:D183,"Uang Keluar",$F$9:F183)</f>
        <v/>
      </c>
    </row>
    <row r="184">
      <c r="A184" s="5" t="n">
        <v>176</v>
      </c>
      <c r="B184" s="6" t="n"/>
      <c r="C184" s="5" t="n"/>
      <c r="D184" s="5" t="n"/>
      <c r="E184" s="5" t="n"/>
      <c r="F184" s="7" t="n"/>
      <c r="G184" s="7">
        <f>$B$3+SUMIF($D$9:D184,"Uang Masuk",$F$9:F184)-SUMIF($D$9:D184,"Uang Keluar",$F$9:F184)</f>
        <v/>
      </c>
    </row>
    <row r="185">
      <c r="A185" s="5" t="n">
        <v>177</v>
      </c>
      <c r="B185" s="6" t="n"/>
      <c r="C185" s="5" t="n"/>
      <c r="D185" s="5" t="n"/>
      <c r="E185" s="5" t="n"/>
      <c r="F185" s="7" t="n"/>
      <c r="G185" s="7">
        <f>$B$3+SUMIF($D$9:D185,"Uang Masuk",$F$9:F185)-SUMIF($D$9:D185,"Uang Keluar",$F$9:F185)</f>
        <v/>
      </c>
    </row>
    <row r="186">
      <c r="A186" s="5" t="n">
        <v>178</v>
      </c>
      <c r="B186" s="6" t="n"/>
      <c r="C186" s="5" t="n"/>
      <c r="D186" s="5" t="n"/>
      <c r="E186" s="5" t="n"/>
      <c r="F186" s="7" t="n"/>
      <c r="G186" s="7">
        <f>$B$3+SUMIF($D$9:D186,"Uang Masuk",$F$9:F186)-SUMIF($D$9:D186,"Uang Keluar",$F$9:F186)</f>
        <v/>
      </c>
    </row>
    <row r="187">
      <c r="A187" s="5" t="n">
        <v>179</v>
      </c>
      <c r="B187" s="6" t="n"/>
      <c r="C187" s="5" t="n"/>
      <c r="D187" s="5" t="n"/>
      <c r="E187" s="5" t="n"/>
      <c r="F187" s="7" t="n"/>
      <c r="G187" s="7">
        <f>$B$3+SUMIF($D$9:D187,"Uang Masuk",$F$9:F187)-SUMIF($D$9:D187,"Uang Keluar",$F$9:F187)</f>
        <v/>
      </c>
    </row>
    <row r="188">
      <c r="A188" s="5" t="n">
        <v>180</v>
      </c>
      <c r="B188" s="6" t="n"/>
      <c r="C188" s="5" t="n"/>
      <c r="D188" s="5" t="n"/>
      <c r="E188" s="5" t="n"/>
      <c r="F188" s="7" t="n"/>
      <c r="G188" s="7">
        <f>$B$3+SUMIF($D$9:D188,"Uang Masuk",$F$9:F188)-SUMIF($D$9:D188,"Uang Keluar",$F$9:F188)</f>
        <v/>
      </c>
    </row>
    <row r="189">
      <c r="A189" s="5" t="n">
        <v>181</v>
      </c>
      <c r="B189" s="6" t="n"/>
      <c r="C189" s="5" t="n"/>
      <c r="D189" s="5" t="n"/>
      <c r="E189" s="5" t="n"/>
      <c r="F189" s="7" t="n"/>
      <c r="G189" s="7">
        <f>$B$3+SUMIF($D$9:D189,"Uang Masuk",$F$9:F189)-SUMIF($D$9:D189,"Uang Keluar",$F$9:F189)</f>
        <v/>
      </c>
    </row>
    <row r="190">
      <c r="A190" s="5" t="n">
        <v>182</v>
      </c>
      <c r="B190" s="6" t="n"/>
      <c r="C190" s="5" t="n"/>
      <c r="D190" s="5" t="n"/>
      <c r="E190" s="5" t="n"/>
      <c r="F190" s="7" t="n"/>
      <c r="G190" s="7">
        <f>$B$3+SUMIF($D$9:D190,"Uang Masuk",$F$9:F190)-SUMIF($D$9:D190,"Uang Keluar",$F$9:F190)</f>
        <v/>
      </c>
    </row>
    <row r="191">
      <c r="A191" s="5" t="n">
        <v>183</v>
      </c>
      <c r="B191" s="6" t="n"/>
      <c r="C191" s="5" t="n"/>
      <c r="D191" s="5" t="n"/>
      <c r="E191" s="5" t="n"/>
      <c r="F191" s="7" t="n"/>
      <c r="G191" s="7">
        <f>$B$3+SUMIF($D$9:D191,"Uang Masuk",$F$9:F191)-SUMIF($D$9:D191,"Uang Keluar",$F$9:F191)</f>
        <v/>
      </c>
    </row>
    <row r="192">
      <c r="A192" s="5" t="n">
        <v>184</v>
      </c>
      <c r="B192" s="6" t="n"/>
      <c r="C192" s="5" t="n"/>
      <c r="D192" s="5" t="n"/>
      <c r="E192" s="5" t="n"/>
      <c r="F192" s="7" t="n"/>
      <c r="G192" s="7">
        <f>$B$3+SUMIF($D$9:D192,"Uang Masuk",$F$9:F192)-SUMIF($D$9:D192,"Uang Keluar",$F$9:F192)</f>
        <v/>
      </c>
    </row>
    <row r="193">
      <c r="A193" s="5" t="n">
        <v>185</v>
      </c>
      <c r="B193" s="6" t="n"/>
      <c r="C193" s="5" t="n"/>
      <c r="D193" s="5" t="n"/>
      <c r="E193" s="5" t="n"/>
      <c r="F193" s="7" t="n"/>
      <c r="G193" s="7">
        <f>$B$3+SUMIF($D$9:D193,"Uang Masuk",$F$9:F193)-SUMIF($D$9:D193,"Uang Keluar",$F$9:F193)</f>
        <v/>
      </c>
    </row>
    <row r="194">
      <c r="A194" s="5" t="n">
        <v>186</v>
      </c>
      <c r="B194" s="6" t="n"/>
      <c r="C194" s="5" t="n"/>
      <c r="D194" s="5" t="n"/>
      <c r="E194" s="5" t="n"/>
      <c r="F194" s="7" t="n"/>
      <c r="G194" s="7">
        <f>$B$3+SUMIF($D$9:D194,"Uang Masuk",$F$9:F194)-SUMIF($D$9:D194,"Uang Keluar",$F$9:F194)</f>
        <v/>
      </c>
    </row>
    <row r="195">
      <c r="A195" s="5" t="n">
        <v>187</v>
      </c>
      <c r="B195" s="6" t="n"/>
      <c r="C195" s="5" t="n"/>
      <c r="D195" s="5" t="n"/>
      <c r="E195" s="5" t="n"/>
      <c r="F195" s="7" t="n"/>
      <c r="G195" s="7">
        <f>$B$3+SUMIF($D$9:D195,"Uang Masuk",$F$9:F195)-SUMIF($D$9:D195,"Uang Keluar",$F$9:F195)</f>
        <v/>
      </c>
    </row>
    <row r="196">
      <c r="A196" s="5" t="n">
        <v>188</v>
      </c>
      <c r="B196" s="6" t="n"/>
      <c r="C196" s="5" t="n"/>
      <c r="D196" s="5" t="n"/>
      <c r="E196" s="5" t="n"/>
      <c r="F196" s="7" t="n"/>
      <c r="G196" s="7">
        <f>$B$3+SUMIF($D$9:D196,"Uang Masuk",$F$9:F196)-SUMIF($D$9:D196,"Uang Keluar",$F$9:F196)</f>
        <v/>
      </c>
    </row>
    <row r="197">
      <c r="A197" s="5" t="n">
        <v>189</v>
      </c>
      <c r="B197" s="6" t="n"/>
      <c r="C197" s="5" t="n"/>
      <c r="D197" s="5" t="n"/>
      <c r="E197" s="5" t="n"/>
      <c r="F197" s="7" t="n"/>
      <c r="G197" s="7">
        <f>$B$3+SUMIF($D$9:D197,"Uang Masuk",$F$9:F197)-SUMIF($D$9:D197,"Uang Keluar",$F$9:F197)</f>
        <v/>
      </c>
    </row>
    <row r="198">
      <c r="A198" s="5" t="n">
        <v>190</v>
      </c>
      <c r="B198" s="6" t="n"/>
      <c r="C198" s="5" t="n"/>
      <c r="D198" s="5" t="n"/>
      <c r="E198" s="5" t="n"/>
      <c r="F198" s="7" t="n"/>
      <c r="G198" s="7">
        <f>$B$3+SUMIF($D$9:D198,"Uang Masuk",$F$9:F198)-SUMIF($D$9:D198,"Uang Keluar",$F$9:F198)</f>
        <v/>
      </c>
    </row>
    <row r="199">
      <c r="A199" s="5" t="n">
        <v>191</v>
      </c>
      <c r="B199" s="6" t="n"/>
      <c r="C199" s="5" t="n"/>
      <c r="D199" s="5" t="n"/>
      <c r="E199" s="5" t="n"/>
      <c r="F199" s="7" t="n"/>
      <c r="G199" s="7">
        <f>$B$3+SUMIF($D$9:D199,"Uang Masuk",$F$9:F199)-SUMIF($D$9:D199,"Uang Keluar",$F$9:F199)</f>
        <v/>
      </c>
    </row>
    <row r="200">
      <c r="A200" s="5" t="n">
        <v>192</v>
      </c>
      <c r="B200" s="6" t="n"/>
      <c r="C200" s="5" t="n"/>
      <c r="D200" s="5" t="n"/>
      <c r="E200" s="5" t="n"/>
      <c r="F200" s="7" t="n"/>
      <c r="G200" s="7">
        <f>$B$3+SUMIF($D$9:D200,"Uang Masuk",$F$9:F200)-SUMIF($D$9:D200,"Uang Keluar",$F$9:F200)</f>
        <v/>
      </c>
    </row>
    <row r="201">
      <c r="A201" s="5" t="n">
        <v>193</v>
      </c>
      <c r="B201" s="6" t="n"/>
      <c r="C201" s="5" t="n"/>
      <c r="D201" s="5" t="n"/>
      <c r="E201" s="5" t="n"/>
      <c r="F201" s="7" t="n"/>
      <c r="G201" s="7">
        <f>$B$3+SUMIF($D$9:D201,"Uang Masuk",$F$9:F201)-SUMIF($D$9:D201,"Uang Keluar",$F$9:F201)</f>
        <v/>
      </c>
    </row>
    <row r="202">
      <c r="A202" s="5" t="n">
        <v>194</v>
      </c>
      <c r="B202" s="6" t="n"/>
      <c r="C202" s="5" t="n"/>
      <c r="D202" s="5" t="n"/>
      <c r="E202" s="5" t="n"/>
      <c r="F202" s="7" t="n"/>
      <c r="G202" s="7">
        <f>$B$3+SUMIF($D$9:D202,"Uang Masuk",$F$9:F202)-SUMIF($D$9:D202,"Uang Keluar",$F$9:F202)</f>
        <v/>
      </c>
    </row>
    <row r="203">
      <c r="A203" s="5" t="n">
        <v>195</v>
      </c>
      <c r="B203" s="6" t="n"/>
      <c r="C203" s="5" t="n"/>
      <c r="D203" s="5" t="n"/>
      <c r="E203" s="5" t="n"/>
      <c r="F203" s="7" t="n"/>
      <c r="G203" s="7">
        <f>$B$3+SUMIF($D$9:D203,"Uang Masuk",$F$9:F203)-SUMIF($D$9:D203,"Uang Keluar",$F$9:F203)</f>
        <v/>
      </c>
    </row>
    <row r="204">
      <c r="A204" s="5" t="n">
        <v>196</v>
      </c>
      <c r="B204" s="6" t="n"/>
      <c r="C204" s="5" t="n"/>
      <c r="D204" s="5" t="n"/>
      <c r="E204" s="5" t="n"/>
      <c r="F204" s="7" t="n"/>
      <c r="G204" s="7">
        <f>$B$3+SUMIF($D$9:D204,"Uang Masuk",$F$9:F204)-SUMIF($D$9:D204,"Uang Keluar",$F$9:F204)</f>
        <v/>
      </c>
    </row>
    <row r="205">
      <c r="A205" s="5" t="n">
        <v>197</v>
      </c>
      <c r="B205" s="6" t="n"/>
      <c r="C205" s="5" t="n"/>
      <c r="D205" s="5" t="n"/>
      <c r="E205" s="5" t="n"/>
      <c r="F205" s="7" t="n"/>
      <c r="G205" s="7">
        <f>$B$3+SUMIF($D$9:D205,"Uang Masuk",$F$9:F205)-SUMIF($D$9:D205,"Uang Keluar",$F$9:F205)</f>
        <v/>
      </c>
    </row>
    <row r="206">
      <c r="A206" s="5" t="n">
        <v>198</v>
      </c>
      <c r="B206" s="6" t="n"/>
      <c r="C206" s="5" t="n"/>
      <c r="D206" s="5" t="n"/>
      <c r="E206" s="5" t="n"/>
      <c r="F206" s="7" t="n"/>
      <c r="G206" s="7">
        <f>$B$3+SUMIF($D$9:D206,"Uang Masuk",$F$9:F206)-SUMIF($D$9:D206,"Uang Keluar",$F$9:F206)</f>
        <v/>
      </c>
    </row>
    <row r="207">
      <c r="A207" s="5" t="n">
        <v>199</v>
      </c>
      <c r="B207" s="6" t="n"/>
      <c r="C207" s="5" t="n"/>
      <c r="D207" s="5" t="n"/>
      <c r="E207" s="5" t="n"/>
      <c r="F207" s="7" t="n"/>
      <c r="G207" s="7">
        <f>$B$3+SUMIF($D$9:D207,"Uang Masuk",$F$9:F207)-SUMIF($D$9:D207,"Uang Keluar",$F$9:F207)</f>
        <v/>
      </c>
    </row>
    <row r="208">
      <c r="A208" s="5" t="n">
        <v>200</v>
      </c>
      <c r="B208" s="6" t="n"/>
      <c r="C208" s="5" t="n"/>
      <c r="D208" s="5" t="n"/>
      <c r="E208" s="5" t="n"/>
      <c r="F208" s="7" t="n"/>
      <c r="G208" s="7">
        <f>$B$3+SUMIF($D$9:D208,"Uang Masuk",$F$9:F208)-SUMIF($D$9:D208,"Uang Keluar",$F$9:F208)</f>
        <v/>
      </c>
    </row>
  </sheetData>
  <autoFilter ref="A8:G208"/>
  <mergeCells count="1">
    <mergeCell ref="A1:G1"/>
  </mergeCells>
  <dataValidations count="2">
    <dataValidation sqref="D9:D208" showDropDown="0" showInputMessage="0" showErrorMessage="0" allowBlank="1" type="list">
      <formula1>"Uang Masuk,Uang Keluar"</formula1>
    </dataValidation>
    <dataValidation sqref="E9:E208" showDropDown="0" showInputMessage="0" showErrorMessage="0" allowBlank="1" type="list">
      <formula1>"Penjualan,Modal,Bahan/Stock,Operasional,Gaji Pemilik,Pengambilan Pribadi,Lainnya"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4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RINGKASAN KEUANGAN USAHA</t>
        </is>
      </c>
    </row>
    <row r="3">
      <c r="A3" s="8" t="inlineStr">
        <is>
          <t>Indikator</t>
        </is>
      </c>
      <c r="B3" s="8" t="inlineStr">
        <is>
          <t>Nilai</t>
        </is>
      </c>
      <c r="D3" s="8" t="inlineStr">
        <is>
          <t>Catatan</t>
        </is>
      </c>
    </row>
    <row r="4">
      <c r="A4" t="inlineStr">
        <is>
          <t>Total Uang Masuk</t>
        </is>
      </c>
      <c r="B4" s="9">
        <f>'Buku Kas'!E3</f>
        <v/>
      </c>
      <c r="D4" s="10" t="inlineStr">
        <is>
          <t>Ringkasan membantu melihat arus kas usaha. Gunakan angka dari buku kas sebagai bahan evaluasi, bukan sebagai pengganti laporan keuangan lengkap.</t>
        </is>
      </c>
    </row>
    <row r="5">
      <c r="A5" t="inlineStr">
        <is>
          <t>Total Uang Keluar</t>
        </is>
      </c>
      <c r="B5" s="9">
        <f>'Buku Kas'!E4</f>
        <v/>
      </c>
    </row>
    <row r="6">
      <c r="A6" t="inlineStr">
        <is>
          <t>Saldo Akhir</t>
        </is>
      </c>
      <c r="B6" s="9">
        <f>'Buku Kas'!E5</f>
        <v/>
      </c>
    </row>
    <row r="7">
      <c r="A7" t="inlineStr">
        <is>
          <t>Jumlah Transaksi</t>
        </is>
      </c>
      <c r="B7" s="11">
        <f>COUNTA('Buku Kas'!C9:C208)</f>
        <v/>
      </c>
    </row>
    <row r="8"/>
    <row r="10">
      <c r="A10" s="2" t="inlineStr">
        <is>
          <t>Pengeluaran berdasarkan kategori</t>
        </is>
      </c>
    </row>
    <row r="11">
      <c r="A11" s="8" t="inlineStr">
        <is>
          <t>Kategori</t>
        </is>
      </c>
      <c r="B11" s="8" t="inlineStr">
        <is>
          <t>Total Keluar</t>
        </is>
      </c>
    </row>
    <row r="12">
      <c r="A12" t="inlineStr">
        <is>
          <t>Bahan/Stock</t>
        </is>
      </c>
      <c r="B12" s="9">
        <f>SUMIFS('Buku Kas'!$F$9:$F$208,'Buku Kas'!$D$9:$D$208,"Uang Keluar",'Buku Kas'!$E$9:$E$208,A12)</f>
        <v/>
      </c>
    </row>
    <row r="13">
      <c r="A13" t="inlineStr">
        <is>
          <t>Operasional</t>
        </is>
      </c>
      <c r="B13" s="9">
        <f>SUMIFS('Buku Kas'!$F$9:$F$208,'Buku Kas'!$D$9:$D$208,"Uang Keluar",'Buku Kas'!$E$9:$E$208,A13)</f>
        <v/>
      </c>
    </row>
    <row r="14">
      <c r="A14" t="inlineStr">
        <is>
          <t>Gaji Pemilik</t>
        </is>
      </c>
      <c r="B14" s="9">
        <f>SUMIFS('Buku Kas'!$F$9:$F$208,'Buku Kas'!$D$9:$D$208,"Uang Keluar",'Buku Kas'!$E$9:$E$208,A14)</f>
        <v/>
      </c>
    </row>
    <row r="15">
      <c r="A15" t="inlineStr">
        <is>
          <t>Pengambilan Pribadi</t>
        </is>
      </c>
      <c r="B15" s="9">
        <f>SUMIFS('Buku Kas'!$F$9:$F$208,'Buku Kas'!$D$9:$D$208,"Uang Keluar",'Buku Kas'!$E$9:$E$208,A15)</f>
        <v/>
      </c>
    </row>
    <row r="16">
      <c r="A16" t="inlineStr">
        <is>
          <t>Lainnya</t>
        </is>
      </c>
      <c r="B16" s="9">
        <f>SUMIFS('Buku Kas'!$F$9:$F$208,'Buku Kas'!$D$9:$D$208,"Uang Keluar",'Buku Kas'!$E$9:$E$208,A16)</f>
        <v/>
      </c>
    </row>
  </sheetData>
  <mergeCells count="2">
    <mergeCell ref="D4:F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75" customWidth="1" min="3" max="3"/>
    <col width="4" customWidth="1" min="4" max="4"/>
  </cols>
  <sheetData>
    <row r="1">
      <c r="A1" s="1" t="inlineStr">
        <is>
          <t>PANDUAN PENGGUNAAN TEMPLATE</t>
        </is>
      </c>
    </row>
    <row r="3" ht="40" customHeight="1">
      <c r="A3" s="12" t="inlineStr">
        <is>
          <t>1</t>
        </is>
      </c>
      <c r="B3" s="2" t="inlineStr">
        <is>
          <t>Isi Nama Usaha dan Saldo Awal</t>
        </is>
      </c>
      <c r="C3" s="13" t="inlineStr">
        <is>
          <t>Saldo awal adalah uang kas usaha yang tersedia sebelum transaksi pertama dicatat.</t>
        </is>
      </c>
    </row>
    <row r="4" ht="40" customHeight="1">
      <c r="A4" s="12" t="inlineStr">
        <is>
          <t>2</t>
        </is>
      </c>
      <c r="B4" s="2" t="inlineStr">
        <is>
          <t>Tambah satu baris untuk setiap transaksi</t>
        </is>
      </c>
      <c r="C4" s="13" t="inlineStr">
        <is>
          <t>Jangan menggabungkan beberapa transaksi berbeda dalam satu baris.</t>
        </is>
      </c>
    </row>
    <row r="5" ht="40" customHeight="1">
      <c r="A5" s="12" t="inlineStr">
        <is>
          <t>3</t>
        </is>
      </c>
      <c r="B5" s="2" t="inlineStr">
        <is>
          <t>Pilih Jenis Transaksi</t>
        </is>
      </c>
      <c r="C5" s="13" t="inlineStr">
        <is>
          <t>Uang Masuk untuk pemasukan; Uang Keluar untuk pengeluaran usaha atau pengambilan pemilik.</t>
        </is>
      </c>
    </row>
    <row r="6" ht="40" customHeight="1">
      <c r="A6" s="12" t="inlineStr">
        <is>
          <t>4</t>
        </is>
      </c>
      <c r="B6" s="2" t="inlineStr">
        <is>
          <t>Pilih Kategori</t>
        </is>
      </c>
      <c r="C6" s="13" t="inlineStr">
        <is>
          <t>Gunakan kategori yang paling sesuai agar ringkasan pengeluaran lebih mudah dibaca.</t>
        </is>
      </c>
    </row>
    <row r="7" ht="40" customHeight="1">
      <c r="A7" s="12" t="inlineStr">
        <is>
          <t>5</t>
        </is>
      </c>
      <c r="B7" s="2" t="inlineStr">
        <is>
          <t>Isi Nominal</t>
        </is>
      </c>
      <c r="C7" s="13" t="inlineStr">
        <is>
          <t>Masukkan angka saja. Format Rupiah akan ditampilkan otomatis.</t>
        </is>
      </c>
    </row>
    <row r="8" ht="40" customHeight="1">
      <c r="A8" s="12" t="inlineStr">
        <is>
          <t>6</t>
        </is>
      </c>
      <c r="B8" s="2" t="inlineStr">
        <is>
          <t>Periksa Saldo</t>
        </is>
      </c>
      <c r="C8" s="13" t="inlineStr">
        <is>
          <t>Kolom Saldo dihitung otomatis berdasarkan urutan transaksi.</t>
        </is>
      </c>
    </row>
    <row r="9" ht="40" customHeight="1">
      <c r="A9" s="12" t="inlineStr">
        <is>
          <t>7</t>
        </is>
      </c>
      <c r="B9" s="2" t="inlineStr">
        <is>
          <t>Evaluasi akhir bulan</t>
        </is>
      </c>
      <c r="C9" s="13" t="inlineStr">
        <is>
          <t>Lihat total masuk, total keluar, saldo akhir, dan pengambilan pemilik di sheet Ringkasan.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2026-08-22T09:13:07Z</dcterms:created>
  <dcterms:modified xmlns:dcterms="http://purl.org/dc/terms/" xmlns:xsi="http://www.w3.org/2001/XMLSchema-instance" xsi:type="dcterms:W3CDTF">2026-08-22T09:13:07Z</dcterms:modified>
</cp:coreProperties>
</file>